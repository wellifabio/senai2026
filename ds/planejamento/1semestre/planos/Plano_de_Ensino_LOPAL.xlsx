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A80D0FF2-3E20-49F0-A99E-DF4AB80B0F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8" i="2" l="1"/>
</calcChain>
</file>

<file path=xl/sharedStrings.xml><?xml version="1.0" encoding="utf-8"?>
<sst xmlns="http://schemas.openxmlformats.org/spreadsheetml/2006/main" count="153" uniqueCount="142">
  <si>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</si>
  <si>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</si>
  <si>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</si>
  <si>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</si>
  <si>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</si>
  <si>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</si>
  <si>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</si>
  <si>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</si>
  <si>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</si>
  <si>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</si>
  <si>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</si>
  <si>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</si>
  <si>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</si>
  <si>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</si>
  <si>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</si>
  <si>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</si>
  <si>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</si>
  <si>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</si>
  <si>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</si>
  <si>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</si>
  <si>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</si>
  <si>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</si>
  <si>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</si>
  <si>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</si>
  <si>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</si>
  <si>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</si>
  <si>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</si>
  <si>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</si>
  <si>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</si>
  <si>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</si>
  <si>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</si>
  <si>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</si>
  <si>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</si>
  <si>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</si>
  <si>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</si>
  <si>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</si>
  <si>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</si>
  <si>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</si>
  <si>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3. Demonstrar inteligência emocional</t>
  </si>
  <si>
    <t>Técnico em Desenvolvimento de Sistemas</t>
  </si>
  <si>
    <t xml:space="preserve">2. Demonstrar pensamento analítico </t>
  </si>
  <si>
    <t>Docente : Wellington Fábio de O. Martins</t>
  </si>
  <si>
    <t>Data:    /    /2026</t>
  </si>
  <si>
    <t>Avaliação Formativa - Projeto</t>
  </si>
  <si>
    <t>S</t>
  </si>
  <si>
    <t>Somativa</t>
  </si>
  <si>
    <t>4 Demonstrar autonomia</t>
  </si>
  <si>
    <t>Data: 09/02/2026</t>
  </si>
  <si>
    <t>1 Demonstrar autogestão</t>
  </si>
  <si>
    <t>LÓGICA DE PROGRAMAÇÃO E ALGORITMOS</t>
  </si>
  <si>
    <t>Proporcionar capacidades básicas e socioemocionais que permitem desenvolver algoritmos, por meio de lógica de programação e versionamento, para resolução de problemas.</t>
  </si>
  <si>
    <t>Carga Horária Presencial: 100</t>
  </si>
  <si>
    <t>Carga Horária Total: 100</t>
  </si>
  <si>
    <t>1 Identificar a sequência lógica de passos em um algoritmo</t>
  </si>
  <si>
    <t>Aula expositiva, demonstração e desafios.</t>
  </si>
  <si>
    <t>Pincel e Quadro Branco</t>
  </si>
  <si>
    <t>O que é um algoritmo? Quais os passos básicos para a resolução de problemas.</t>
  </si>
  <si>
    <t>Atividade em grupo para solucionar um desafio de lógica e explicar.</t>
  </si>
  <si>
    <t>Dia01</t>
  </si>
  <si>
    <t>1 Lógica e algoritmos
1.1. Definição
1.2. Estruturas
1.2.1.Sequência
1.2.2.Seleção
1.2.3.Repetição</t>
  </si>
  <si>
    <t>1.3. Fluxogramas
2 Linguagem de programação
2.1. Princípios
2.2. Caraterísticas
2.3. Tipos
2.3.1. Compilada
2.3.2. Interpretada</t>
  </si>
  <si>
    <t>2 Utilizar tomada de decisão para elaboração do algoritmo</t>
  </si>
  <si>
    <t>Dia02 Dia03</t>
  </si>
  <si>
    <t>Aula expositiva, demonstração, desafios e lista de exercícios</t>
  </si>
  <si>
    <t>O que é um fluxograma? O que é uma linguagem de programação? O que podemos resolver utilizando algoritmos e/ou fluxogramas</t>
  </si>
  <si>
    <t>Listas de exercícios. Desafio em grupos.</t>
  </si>
  <si>
    <t>3 Criar estruturas de repetição para executar um conjunto de instruções várias vezes</t>
  </si>
  <si>
    <t>Dia04 Dia05</t>
  </si>
  <si>
    <t>3 Lógica de programação
3.1. Variáveis
3.2. Constantes
3.3. Operadores
3.3.1.Atribuição
3.3.2.Aritméticos
3.3.3.Lógicos
3.4. Condicionais
3.4.1.Simples
3.4.2.Composta
3.4.3.Encadeada</t>
  </si>
  <si>
    <t>Aula expositiva e dialogada, listas de exercícios, correção de exercícios, apresentação de solução de exercícios pelos alunos</t>
  </si>
  <si>
    <t>O que são variáveis? Quais as diferenças entre variáveis e constantes? Qual a diferença entre atribuição e comparação? O que são condicionais?</t>
  </si>
  <si>
    <t>Listas de exercícios. Desafio em grupos. Explicação de exercícios no quadro.</t>
  </si>
  <si>
    <t>3.5. Laços de repetição
3.5.1.Contador (for)
3.5.2.Condicional (while)</t>
  </si>
  <si>
    <t>Dia06 Dia07</t>
  </si>
  <si>
    <t>Aula expositiva e dialogada, listas de exercícios, correção de exercícios, apresentação de solução de exercícios pelos alunos. Aulas práticas com computador</t>
  </si>
  <si>
    <t>Pincel e Quadro Branco, Computadores com acesso a internet</t>
  </si>
  <si>
    <t>O que são laços de repetição? Qual a principal diferença entre um laço while e um laço for? Como representar um laço de repetição em um fluxograma.</t>
  </si>
  <si>
    <t>Listas de exercícios, estudos de caso, Desafios em grupo.</t>
  </si>
  <si>
    <t>3.6. Vetores
3.7. Matrizes
3.8. Técnicas de código limpo (clean code)</t>
  </si>
  <si>
    <t>5 Utilizar variáveis para armazenar valores durante a execução de um programa</t>
  </si>
  <si>
    <t>Dia08 Dia09</t>
  </si>
  <si>
    <t>Aula expositiva e dialogada, lista de exercícios, Aulas práticas com computador</t>
  </si>
  <si>
    <t>O que são vetores? O que são matrizes? Para que utilizar vetores na programação?</t>
  </si>
  <si>
    <t>Listas de exercícios, Desafios em grupo.</t>
  </si>
  <si>
    <t>2 Utilizar tomada de decisão para elaboração do algoritmo
6 Utilizar operadores aritméticos para realizar cálculos em expressões numéricas. 7 Aplicar operadores lógicos para avaliar e combinar condições booleanas</t>
  </si>
  <si>
    <t>3 Criar estruturas de repetição para executar um conjunto de instruções várias vezes
4 Representar algoritmos por meio de fluxogramas, seguindo as convenções de símbolos e conexões 8 Utilizar estruturas condicionais para executar instruções com base em uma condição</t>
  </si>
  <si>
    <t>11 Aplicar técnicas de código limpo (clean code)
12 Manipular os diferentes tipos de dados na elaboração de programas</t>
  </si>
  <si>
    <t>Dia10 Dia11</t>
  </si>
  <si>
    <t>5 Manipulação de arquivos
5.1. Escrita
5.2. Leitura</t>
  </si>
  <si>
    <t>Resolução de desafio, pesquisa utilizando a internet</t>
  </si>
  <si>
    <t>O que são estruturas de dados? O que é uma fila? O que é uma pilha? Como maniputar listass? O que é persistência de dados?</t>
  </si>
  <si>
    <t>Listas de exercícios, Desafios em grupo e desafio individual.</t>
  </si>
  <si>
    <t>6 Git - Sistema de controle de versões distribuído
6.1. Evolução
6.2. Comandos iniciais
6.2.1.Init
6.2.2.Add
6.2.3.Status
6.2.4.Config
6.2.5.Commit
6.2.6.Log</t>
  </si>
  <si>
    <t>14 Criar repositórios Git locais e remotos para controle de versionamento</t>
  </si>
  <si>
    <t>Dia12 Dia13</t>
  </si>
  <si>
    <t>13 Utilizar o ambiente integrado de desenvolvimento (IDE)</t>
  </si>
  <si>
    <t>Demonstração prática, Exposição dialogada</t>
  </si>
  <si>
    <t>O que é git? O que é github? O que é um repositório? O que são versões? O que é um commit? Para que serve um commit?</t>
  </si>
  <si>
    <t>Trabalho individual.</t>
  </si>
  <si>
    <t>Dia14 Dia15 Dia16 Dia17 Dia18 Dia19 Dia20</t>
  </si>
  <si>
    <t>7 Versionamento em nuvem
7.1. Serviços
7.1.1.Github
7.1.2.BitBucket
7.1.3.Azure Repository
7.2. Pull Requests
7.3. Resolução de conflitos</t>
  </si>
  <si>
    <t>Resolução de situação problema, Projeto, Exposição dialogada</t>
  </si>
  <si>
    <t>O que é um pull request? O que é clonar um repositório? O que é um fork? O que é um projeto desktop?</t>
  </si>
  <si>
    <t>Desafio em grupo e individual.</t>
  </si>
  <si>
    <t>Como técnico em desenvolvimento de sistemas, você trabalha em uma consultoria que desenvolve soluções em desenvolvimento de software e possui diversos clientes em vários seguimentos da indústria. Um de seus clientes é a escola particular de ensino médio XPTO.</t>
  </si>
  <si>
    <r>
      <t xml:space="preserve">Crie um repositório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contendo os arquivos de código fonte e crie um README.md com um breve resumo do sistema, print das telas e um fluxograma do processo de visita e cadastro na escola</t>
    </r>
  </si>
  <si>
    <t>7 Aplicar operadores lógicos para avaliar e combinar condições booleanas</t>
  </si>
  <si>
    <t>4 Representar algoritmos por meio de fluxogramas, seguindo as convenções de símbolos e conexões</t>
  </si>
  <si>
    <t>6 Utilizar operadores aritméticos para realizar cálculos em expressões numéricas</t>
  </si>
  <si>
    <t>8 Utilizar estruturas condicionais para executar instruções com base em uma condição</t>
  </si>
  <si>
    <t>9 Utilizar lógica de programação para a resolução de problemas</t>
  </si>
  <si>
    <t>11 Aplicar técnicas de código limpo (clean code)</t>
  </si>
  <si>
    <t>12 Manipular os diferentes tipos de dados na elaboração de programas</t>
  </si>
  <si>
    <t>Escreve algoritmos ou fluxogramas</t>
  </si>
  <si>
    <t>Expressa uma condição SE() em um algoritmo ou fluxograma</t>
  </si>
  <si>
    <t>Escreveu ao menos uma estrutura de código com laço FOR ou WHILE</t>
  </si>
  <si>
    <t>Desenvolveu o fluxograma solicitado na entrega</t>
  </si>
  <si>
    <t>Definiu as variáveis de acordo com a linguagem de programação escolhida</t>
  </si>
  <si>
    <t>Realizou ao menos um dos cálculos solicitados no desafio</t>
  </si>
  <si>
    <t>Utilizou IF() em algum trecho de código</t>
  </si>
  <si>
    <t>Desenvolveu ao menos um dos requisitos</t>
  </si>
  <si>
    <t>10 Utilizar vetores e matrizes na elaboração do programa</t>
  </si>
  <si>
    <t>Aplicou vetores para ler os dados gravados</t>
  </si>
  <si>
    <t>Removeu comentários desnecessários, redundâncias e códigos não utilizados</t>
  </si>
  <si>
    <t>Utilizou strings, ints e outros tipos de dados</t>
  </si>
  <si>
    <t>Utilizou VsCode, ou devC ou outra IDE estudada</t>
  </si>
  <si>
    <t>Realizou as entregas conforme orientado</t>
  </si>
  <si>
    <t>Acertou todos os critérios críticos e pelo menos 1 dos 12 desejáveis</t>
  </si>
  <si>
    <t>Acertou todos os critérios críticos e pelo menos 2 dos 12 desejáveis</t>
  </si>
  <si>
    <t>Acertou todos os critérios críticos e pelo menos 3 dos 12 desejáveis</t>
  </si>
  <si>
    <t>Acertou todos os critérios críticos e pelo menos 4 dos 12 desejáveis</t>
  </si>
  <si>
    <t>Acertou todos os critérios críticos e pelo menos 5 dos 12 desejáveis</t>
  </si>
  <si>
    <t>Acertou todos os critérios críticos e pelo menos 6 dos 12 desejáveis</t>
  </si>
  <si>
    <t>Acertou todos os critérios críticos e pelo menos 10 dos 12 desejáveis</t>
  </si>
  <si>
    <t>Acertou todos os critérios críticos e pelo menos 8 dos 12 desejáveis</t>
  </si>
  <si>
    <t>Acertou todos os critérios críticos e pelo menos 7 dos 12 desejáveis</t>
  </si>
  <si>
    <t>Compreendeu a situação problema e tirou dúvidas se necessário com o instrutor</t>
  </si>
  <si>
    <t>Relacionou os conceitos de lógica estudado ao desafio proposto</t>
  </si>
  <si>
    <t>Desenvolveu todos os requisitos solicitados mesmo que apresente alguns erros durante a execução</t>
  </si>
  <si>
    <t>Pesquisou nas prórpias bases de conhecimento ou documentos externos oficiais da linguagem.</t>
  </si>
  <si>
    <r>
      <t>A escola XPTO necessita de um sistema de controle de acesso as suas dependências. Este sistema precisa classificar o mais detalhadamente possível todas as pessoas que entram e saem diariamente deste prédio, para isso desenvolva um sistema que atenda aos requisitos a seguir:
- [RF001] Classificar todos os visitantes de acordo com (Nome, função e data da visitação);
- [RF002] Cadastrar cada um conforme sua classificação (Funcionário, Aluno, Visitante);
- [RF003] Registrar qual o motivo da visita a escola;
- [RF004] Quantificar cada tipo de pessoa e calcular o total.
[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1 Identificar a sequência lógica de passos em um algoritmo
2 Utilizar tomada de decisão para elaboração do algoritmo
3 Criar estruturas de repetição para executar um conjunto de instruções várias vezes]
- [RF005] O sistema precisa possuir um menú com opções para o usuário escolher a funcionalidade desejada.
  - [RF005.1] O menú deve possuir a opção de sair do sistema encerrá-lo.
- [RF006] Ao sair do sistemas os dados vevem persistir no computador para serem acessados posteriormente
[</t>
    </r>
    <r>
      <rPr>
        <b/>
        <sz val="11"/>
        <color theme="1"/>
        <rFont val="Arial"/>
        <family val="2"/>
      </rPr>
      <t>Capacidades</t>
    </r>
    <r>
      <rPr>
        <sz val="11"/>
        <color theme="1"/>
        <rFont val="Arial"/>
        <family val="2"/>
      </rPr>
      <t>: 5 Utilizar variáveis para armazenar valores durante a execução de um programa
6 Utilizar operadores aritméticos para realizar cálculos em expressões numéricas
7 Aplicar operadores lógicos para avaliar e combinar condições booleanas
8 Utilizar estruturas condicionais para executar instruções com base em uma condição
9 Utilizar lógica de programação para a resolução de problemas
10 Utilizar vetores e matrizes na elaboração do programa
11 Aplicar técnicas de código limpo (clean code)]
Mais regras de negócio e instruções
- [RN001] Exemplos de tipos de pessoas que acessam o prédio conforme suas funções: Professores, Alunos, Visitantes, Representantes de Empresas, Pais de alunos.
- [RN002] Exemplo de motivos de visita: Ministrar aulas, realizar treinamento, Fazer matrícula, Realizar trabalhos administrativos, Fazer Visitas técnicas.
- Você pode escolher entre as linguagens C ou Python para o desenvolvimento.</t>
    </r>
  </si>
  <si>
    <t>Utilizou IF() para seguimentar dados direcionando o fluxo da programação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</si>
</sst>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37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12" fillId="0" borderId="2" xfId="0" applyFont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8" xfId="0" applyFont="1" applyBorder="1"/>
    <xf numFmtId="0" fontId="7" fillId="0" borderId="11" xfId="0" applyFont="1" applyBorder="1" applyAlignment="1">
      <alignment wrapText="1"/>
    </xf>
    <xf numFmtId="0" fontId="7" fillId="0" borderId="11" xfId="0" applyFont="1" applyBorder="1" applyAlignment="1">
      <alignment horizontal="center" wrapText="1"/>
    </xf>
    <xf numFmtId="0" fontId="10" fillId="2" borderId="8" xfId="0" applyFont="1" applyFill="1" applyBorder="1" applyAlignment="1">
      <alignment horizontal="center" wrapText="1"/>
    </xf>
    <xf numFmtId="0" fontId="14" fillId="0" borderId="11" xfId="0" applyFont="1" applyBorder="1" applyAlignment="1">
      <alignment horizontal="center" wrapText="1"/>
    </xf>
    <xf numFmtId="0" fontId="11" fillId="0" borderId="1" xfId="0" applyFont="1" applyBorder="1" applyAlignment="1">
      <alignment vertical="top"/>
    </xf>
    <xf numFmtId="0" fontId="7" fillId="0" borderId="16" xfId="0" applyFont="1" applyBorder="1" applyAlignment="1">
      <alignment wrapText="1"/>
    </xf>
    <xf numFmtId="0" fontId="26" fillId="0" borderId="11" xfId="0" applyFont="1" applyBorder="1" applyAlignment="1">
      <alignment wrapText="1"/>
    </xf>
    <xf numFmtId="0" fontId="27" fillId="0" borderId="11" xfId="0" applyFont="1" applyBorder="1" applyAlignment="1">
      <alignment horizontal="left" wrapText="1"/>
    </xf>
    <xf numFmtId="0" fontId="28" fillId="0" borderId="11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164" fontId="29" fillId="0" borderId="11" xfId="0" applyNumberFormat="1" applyFont="1" applyBorder="1" applyAlignment="1">
      <alignment horizontal="center" vertical="center" wrapText="1"/>
    </xf>
    <xf numFmtId="164" fontId="26" fillId="0" borderId="16" xfId="0" applyNumberFormat="1" applyFont="1" applyBorder="1" applyAlignment="1">
      <alignment horizontal="center" vertical="center" wrapText="1"/>
    </xf>
    <xf numFmtId="164" fontId="26" fillId="0" borderId="11" xfId="0" applyNumberFormat="1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left" vertical="center" wrapText="1"/>
    </xf>
    <xf numFmtId="0" fontId="28" fillId="0" borderId="0" xfId="0" applyFont="1" applyAlignment="1">
      <alignment horizontal="center" wrapText="1"/>
    </xf>
    <xf numFmtId="0" fontId="10" fillId="0" borderId="15" xfId="0" applyFont="1" applyBorder="1" applyAlignment="1">
      <alignment horizontal="center" wrapText="1"/>
    </xf>
    <xf numFmtId="0" fontId="7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5" fillId="0" borderId="3" xfId="0" applyFont="1" applyBorder="1" applyAlignment="1">
      <alignment wrapText="1"/>
    </xf>
    <xf numFmtId="0" fontId="25" fillId="0" borderId="4" xfId="0" applyFont="1" applyBorder="1" applyAlignment="1">
      <alignment wrapText="1"/>
    </xf>
    <xf numFmtId="0" fontId="25" fillId="0" borderId="5" xfId="0" applyFont="1" applyBorder="1" applyAlignment="1">
      <alignment wrapText="1"/>
    </xf>
    <xf numFmtId="0" fontId="12" fillId="0" borderId="1" xfId="0" applyFont="1" applyBorder="1" applyAlignment="1">
      <alignment horizontal="center" wrapText="1"/>
    </xf>
    <xf numFmtId="0" fontId="3" fillId="0" borderId="1" xfId="0" applyFont="1" applyBorder="1"/>
    <xf numFmtId="0" fontId="3" fillId="0" borderId="2" xfId="0" applyFont="1" applyBorder="1"/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0" fillId="0" borderId="12" xfId="0" applyFont="1" applyBorder="1" applyAlignment="1">
      <alignment horizontal="center" vertical="center" wrapText="1"/>
    </xf>
    <xf numFmtId="0" fontId="30" fillId="0" borderId="14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8" fillId="4" borderId="11" xfId="0" applyFont="1" applyFill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13" fillId="0" borderId="1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6" fillId="0" borderId="11" xfId="0" applyFont="1" applyBorder="1" applyAlignment="1">
      <alignment horizontal="center" vertical="center"/>
    </xf>
    <xf numFmtId="0" fontId="3" fillId="0" borderId="15" xfId="0" applyFont="1" applyBorder="1"/>
    <xf numFmtId="0" fontId="18" fillId="0" borderId="11" xfId="0" applyFont="1" applyBorder="1" applyAlignment="1">
      <alignment horizontal="center" wrapText="1"/>
    </xf>
    <xf numFmtId="0" fontId="10" fillId="0" borderId="15" xfId="0" applyFont="1" applyBorder="1" applyAlignment="1">
      <alignment horizontal="center" wrapText="1"/>
    </xf>
    <xf numFmtId="0" fontId="25" fillId="0" borderId="1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25" fillId="0" borderId="1" xfId="0" applyFont="1" applyBorder="1" applyAlignment="1">
      <alignment wrapText="1"/>
    </xf>
    <xf numFmtId="0" fontId="22" fillId="3" borderId="11" xfId="0" applyFont="1" applyFill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9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15" fillId="0" borderId="11" xfId="0" applyFont="1" applyBorder="1" applyAlignment="1">
      <alignment horizontal="left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/>
    <xf numFmtId="0" fontId="0" fillId="0" borderId="11" xfId="0" applyBorder="1"/>
    <xf numFmtId="0" fontId="31" fillId="0" borderId="11" xfId="0" applyFont="1" applyBorder="1" applyAlignment="1">
      <alignment horizontal="center" vertical="center" wrapText="1"/>
    </xf>
    <xf numFmtId="0" fontId="21" fillId="3" borderId="11" xfId="0" applyFont="1" applyFill="1" applyBorder="1" applyAlignment="1">
      <alignment horizontal="center"/>
    </xf>
    <xf numFmtId="164" fontId="29" fillId="0" borderId="11" xfId="0" applyNumberFormat="1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9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0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textRotation="90" wrapText="1"/>
    </xf>
    <xf numFmtId="0" fontId="3" fillId="0" borderId="21" xfId="0" applyFont="1" applyBorder="1" applyAlignment="1">
      <alignment textRotation="90"/>
    </xf>
    <xf numFmtId="0" fontId="3" fillId="0" borderId="16" xfId="0" applyFont="1" applyBorder="1" applyAlignment="1">
      <alignment textRotation="90"/>
    </xf>
    <xf numFmtId="0" fontId="20" fillId="0" borderId="11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30" fillId="0" borderId="11" xfId="0" applyFont="1" applyBorder="1" applyAlignment="1">
      <alignment horizontal="left" vertical="top" wrapText="1"/>
    </xf>
    <xf numFmtId="0" fontId="10" fillId="0" borderId="11" xfId="0" applyFont="1" applyBorder="1" applyAlignment="1">
      <alignment horizontal="center" vertical="center" textRotation="90" wrapText="1"/>
    </xf>
    <xf numFmtId="0" fontId="26" fillId="0" borderId="22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24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wrapText="1"/>
    </xf>
    <xf numFmtId="0" fontId="19" fillId="3" borderId="12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705"/>
  <sheetViews>
    <sheetView tabSelected="1" zoomScaleNormal="100" workbookViewId="0">
      <selection sqref="A1:J1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</row>
    <row r="2" spans="1:27" ht="15" customHeight="1" x14ac:dyDescent="0.25">
      <c r="A2" s="81" t="s">
        <v>2</v>
      </c>
      <c r="B2" s="82"/>
      <c r="C2" s="73" t="s">
        <v>39</v>
      </c>
      <c r="D2" s="74"/>
      <c r="E2" s="78" t="s">
        <v>41</v>
      </c>
      <c r="F2" s="79"/>
      <c r="G2" s="72" t="s">
        <v>24</v>
      </c>
      <c r="H2" s="72"/>
      <c r="I2" s="72" t="s">
        <v>25</v>
      </c>
      <c r="J2" s="72"/>
    </row>
    <row r="3" spans="1:27" ht="15" customHeight="1" x14ac:dyDescent="0.25">
      <c r="A3" s="81"/>
      <c r="B3" s="82"/>
      <c r="C3" s="75"/>
      <c r="D3" s="76"/>
      <c r="E3" s="80" t="s">
        <v>47</v>
      </c>
      <c r="F3" s="80"/>
      <c r="G3" s="83" t="s">
        <v>42</v>
      </c>
      <c r="H3" s="83"/>
      <c r="I3" s="77"/>
      <c r="J3" s="77"/>
    </row>
    <row r="4" spans="1:27" ht="15" customHeight="1" x14ac:dyDescent="0.25">
      <c r="A4" s="84" t="s">
        <v>3</v>
      </c>
      <c r="B4" s="85"/>
      <c r="C4" s="77" t="s">
        <v>49</v>
      </c>
      <c r="D4" s="77"/>
      <c r="E4" s="92" t="s">
        <v>51</v>
      </c>
      <c r="F4" s="93"/>
      <c r="G4" s="83" t="s">
        <v>26</v>
      </c>
      <c r="H4" s="83"/>
      <c r="I4" s="83"/>
      <c r="J4" s="83"/>
    </row>
    <row r="5" spans="1:27" ht="15" customHeight="1" x14ac:dyDescent="0.25">
      <c r="A5" s="85"/>
      <c r="B5" s="86"/>
      <c r="C5" s="77"/>
      <c r="D5" s="77"/>
      <c r="E5" s="94" t="s">
        <v>37</v>
      </c>
      <c r="F5" s="95"/>
      <c r="G5" s="77"/>
      <c r="H5" s="77"/>
      <c r="I5" s="77"/>
      <c r="J5" s="77"/>
    </row>
    <row r="6" spans="1:27" ht="15" customHeight="1" x14ac:dyDescent="0.2">
      <c r="A6" s="84" t="s">
        <v>23</v>
      </c>
      <c r="B6" s="85"/>
      <c r="C6" s="87" t="s">
        <v>50</v>
      </c>
      <c r="D6" s="87"/>
      <c r="E6" s="109" t="s">
        <v>52</v>
      </c>
      <c r="F6" s="110"/>
      <c r="G6" s="77"/>
      <c r="H6" s="77"/>
      <c r="I6" s="77"/>
      <c r="J6" s="77"/>
    </row>
    <row r="7" spans="1:27" ht="46.5" customHeight="1" x14ac:dyDescent="0.2">
      <c r="A7" s="85"/>
      <c r="B7" s="86"/>
      <c r="C7" s="87"/>
      <c r="D7" s="87"/>
      <c r="E7" s="111"/>
      <c r="F7" s="110"/>
      <c r="G7" s="77"/>
      <c r="H7" s="77"/>
      <c r="I7" s="77"/>
      <c r="J7" s="77"/>
    </row>
    <row r="8" spans="1:27" ht="26.25" customHeight="1" x14ac:dyDescent="0.25">
      <c r="A8" s="88" t="s">
        <v>32</v>
      </c>
      <c r="B8" s="88"/>
      <c r="C8" s="88"/>
      <c r="D8" s="88"/>
      <c r="E8" s="88"/>
      <c r="F8" s="88"/>
      <c r="G8" s="88"/>
      <c r="H8" s="88"/>
      <c r="I8" s="88"/>
      <c r="J8" s="88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89" t="s">
        <v>8</v>
      </c>
      <c r="H9" s="89"/>
      <c r="I9" s="89" t="s">
        <v>9</v>
      </c>
      <c r="J9" s="8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76.5" x14ac:dyDescent="0.2">
      <c r="A10" s="27" t="s">
        <v>58</v>
      </c>
      <c r="B10" s="23">
        <v>5</v>
      </c>
      <c r="C10" s="29" t="s">
        <v>53</v>
      </c>
      <c r="D10" s="30" t="s">
        <v>59</v>
      </c>
      <c r="E10" s="31" t="s">
        <v>54</v>
      </c>
      <c r="F10" s="24" t="s">
        <v>55</v>
      </c>
      <c r="G10" s="90" t="s">
        <v>56</v>
      </c>
      <c r="H10" s="91"/>
      <c r="I10" s="90" t="s">
        <v>57</v>
      </c>
      <c r="J10" s="9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89.25" x14ac:dyDescent="0.2">
      <c r="A11" s="28" t="s">
        <v>62</v>
      </c>
      <c r="B11" s="2">
        <v>10</v>
      </c>
      <c r="C11" s="32" t="s">
        <v>61</v>
      </c>
      <c r="D11" s="33" t="s">
        <v>60</v>
      </c>
      <c r="E11" s="31" t="s">
        <v>63</v>
      </c>
      <c r="F11" s="24" t="s">
        <v>55</v>
      </c>
      <c r="G11" s="90" t="s">
        <v>64</v>
      </c>
      <c r="H11" s="91"/>
      <c r="I11" s="55" t="s">
        <v>65</v>
      </c>
      <c r="J11" s="57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40.25" x14ac:dyDescent="0.2">
      <c r="A12" s="28" t="s">
        <v>67</v>
      </c>
      <c r="B12" s="36">
        <v>10</v>
      </c>
      <c r="C12" s="37" t="s">
        <v>84</v>
      </c>
      <c r="D12" s="33" t="s">
        <v>68</v>
      </c>
      <c r="E12" s="31" t="s">
        <v>69</v>
      </c>
      <c r="F12" s="24" t="s">
        <v>55</v>
      </c>
      <c r="G12" s="55" t="s">
        <v>70</v>
      </c>
      <c r="H12" s="56"/>
      <c r="I12" s="55" t="s">
        <v>71</v>
      </c>
      <c r="J12" s="5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3" x14ac:dyDescent="0.2">
      <c r="A13" s="28" t="s">
        <v>73</v>
      </c>
      <c r="B13" s="36">
        <v>10</v>
      </c>
      <c r="C13" s="37" t="s">
        <v>85</v>
      </c>
      <c r="D13" s="33" t="s">
        <v>72</v>
      </c>
      <c r="E13" s="31" t="s">
        <v>74</v>
      </c>
      <c r="F13" s="24" t="s">
        <v>75</v>
      </c>
      <c r="G13" s="55" t="s">
        <v>76</v>
      </c>
      <c r="H13" s="56"/>
      <c r="I13" s="55" t="s">
        <v>77</v>
      </c>
      <c r="J13" s="5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51" x14ac:dyDescent="0.2">
      <c r="A14" s="28" t="s">
        <v>80</v>
      </c>
      <c r="B14" s="36">
        <v>10</v>
      </c>
      <c r="C14" s="37" t="s">
        <v>79</v>
      </c>
      <c r="D14" s="33" t="s">
        <v>78</v>
      </c>
      <c r="E14" s="31" t="s">
        <v>81</v>
      </c>
      <c r="F14" s="24" t="s">
        <v>75</v>
      </c>
      <c r="G14" s="55" t="s">
        <v>82</v>
      </c>
      <c r="H14" s="56"/>
      <c r="I14" s="55" t="s">
        <v>83</v>
      </c>
      <c r="J14" s="56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63.75" x14ac:dyDescent="0.2">
      <c r="A15" s="28" t="s">
        <v>87</v>
      </c>
      <c r="B15" s="36">
        <v>10</v>
      </c>
      <c r="C15" s="37" t="s">
        <v>86</v>
      </c>
      <c r="D15" s="33" t="s">
        <v>88</v>
      </c>
      <c r="E15" s="31" t="s">
        <v>89</v>
      </c>
      <c r="F15" s="24" t="s">
        <v>75</v>
      </c>
      <c r="G15" s="55" t="s">
        <v>90</v>
      </c>
      <c r="H15" s="56"/>
      <c r="I15" s="55" t="s">
        <v>91</v>
      </c>
      <c r="J15" s="56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7.5" x14ac:dyDescent="0.2">
      <c r="A16" s="28" t="s">
        <v>94</v>
      </c>
      <c r="B16" s="36">
        <v>10</v>
      </c>
      <c r="C16" s="37" t="s">
        <v>93</v>
      </c>
      <c r="D16" s="33" t="s">
        <v>92</v>
      </c>
      <c r="E16" s="31" t="s">
        <v>96</v>
      </c>
      <c r="F16" s="24" t="s">
        <v>75</v>
      </c>
      <c r="G16" s="55" t="s">
        <v>97</v>
      </c>
      <c r="H16" s="56"/>
      <c r="I16" s="55" t="s">
        <v>98</v>
      </c>
      <c r="J16" s="56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6.75" customHeight="1" x14ac:dyDescent="0.2">
      <c r="A17" s="28" t="s">
        <v>99</v>
      </c>
      <c r="B17" s="2">
        <v>35</v>
      </c>
      <c r="C17" s="32" t="s">
        <v>95</v>
      </c>
      <c r="D17" s="33" t="s">
        <v>100</v>
      </c>
      <c r="E17" s="31" t="s">
        <v>101</v>
      </c>
      <c r="F17" s="24" t="s">
        <v>75</v>
      </c>
      <c r="G17" s="55" t="s">
        <v>102</v>
      </c>
      <c r="H17" s="56"/>
      <c r="I17" s="114" t="s">
        <v>103</v>
      </c>
      <c r="J17" s="115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customHeight="1" x14ac:dyDescent="0.2">
      <c r="A18" s="20" t="s">
        <v>35</v>
      </c>
      <c r="B18" s="34">
        <f>SUM(B10:B17)</f>
        <v>100</v>
      </c>
      <c r="C18" s="14"/>
      <c r="D18" s="14"/>
      <c r="E18" s="14"/>
      <c r="F18" s="15"/>
      <c r="G18" s="116"/>
      <c r="H18" s="117"/>
      <c r="I18" s="118"/>
      <c r="J18" s="1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24" customHeight="1" x14ac:dyDescent="0.2">
      <c r="A19" s="125" t="s">
        <v>43</v>
      </c>
      <c r="B19" s="126"/>
      <c r="C19" s="126"/>
      <c r="D19" s="126"/>
      <c r="E19" s="126"/>
      <c r="F19" s="126"/>
      <c r="G19" s="126"/>
      <c r="H19" s="126"/>
      <c r="I19" s="126"/>
      <c r="J19" s="1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108" t="s">
        <v>28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63.75" customHeight="1" x14ac:dyDescent="0.2">
      <c r="A21" s="112" t="s">
        <v>104</v>
      </c>
      <c r="B21" s="112"/>
      <c r="C21" s="112"/>
      <c r="D21" s="112"/>
      <c r="E21" s="112"/>
      <c r="F21" s="112"/>
      <c r="G21" s="112"/>
      <c r="H21" s="112"/>
      <c r="I21" s="112"/>
      <c r="J21" s="11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8" customHeight="1" x14ac:dyDescent="0.2">
      <c r="A22" s="108" t="s">
        <v>29</v>
      </c>
      <c r="B22" s="108"/>
      <c r="C22" s="108"/>
      <c r="D22" s="108"/>
      <c r="E22" s="108"/>
      <c r="F22" s="108"/>
      <c r="G22" s="108"/>
      <c r="H22" s="108"/>
      <c r="I22" s="108"/>
      <c r="J22" s="108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41.25" customHeight="1" x14ac:dyDescent="0.2">
      <c r="A23" s="112" t="s">
        <v>140</v>
      </c>
      <c r="B23" s="112"/>
      <c r="C23" s="112"/>
      <c r="D23" s="112"/>
      <c r="E23" s="112"/>
      <c r="F23" s="112"/>
      <c r="G23" s="112"/>
      <c r="H23" s="112"/>
      <c r="I23" s="112"/>
      <c r="J23" s="112"/>
      <c r="L23" s="1"/>
      <c r="M23" s="1"/>
      <c r="O23" s="1"/>
      <c r="P23" s="1"/>
      <c r="Q23" s="1"/>
      <c r="R23" s="1"/>
      <c r="T23" s="1"/>
      <c r="U23" s="1"/>
      <c r="V23" s="1"/>
      <c r="W23" s="1"/>
      <c r="X23" s="1"/>
      <c r="Z23" s="1"/>
      <c r="AA23" s="1"/>
    </row>
    <row r="24" spans="1:27" ht="18" x14ac:dyDescent="0.2">
      <c r="A24" s="108" t="s">
        <v>30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7.5" customHeight="1" x14ac:dyDescent="0.2">
      <c r="A25" s="112" t="s">
        <v>105</v>
      </c>
      <c r="B25" s="112"/>
      <c r="C25" s="112"/>
      <c r="D25" s="112"/>
      <c r="E25" s="112"/>
      <c r="F25" s="112"/>
      <c r="G25" s="112"/>
      <c r="H25" s="112"/>
      <c r="I25" s="112"/>
      <c r="J25" s="11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2.5" customHeight="1" x14ac:dyDescent="0.2">
      <c r="A26" s="120" t="s">
        <v>31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customHeight="1" x14ac:dyDescent="0.25">
      <c r="A27" s="121" t="s">
        <v>33</v>
      </c>
      <c r="B27" s="122"/>
      <c r="C27" s="122"/>
      <c r="D27" s="123" t="s">
        <v>10</v>
      </c>
      <c r="E27" s="123"/>
      <c r="F27" s="123"/>
      <c r="G27" s="66" t="s">
        <v>34</v>
      </c>
      <c r="H27" s="124"/>
      <c r="I27" s="124"/>
      <c r="J27" s="1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9.75" customHeight="1" x14ac:dyDescent="0.2">
      <c r="A28" s="122"/>
      <c r="B28" s="122"/>
      <c r="C28" s="122"/>
      <c r="D28" s="123"/>
      <c r="E28" s="123"/>
      <c r="F28" s="123"/>
      <c r="G28" s="21">
        <v>1</v>
      </c>
      <c r="H28" s="21">
        <v>2</v>
      </c>
      <c r="I28" s="22">
        <v>3</v>
      </c>
      <c r="J28" s="22">
        <v>4</v>
      </c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37.5" customHeight="1" x14ac:dyDescent="0.2">
      <c r="A29" s="113" t="s">
        <v>11</v>
      </c>
      <c r="B29" s="51" t="s">
        <v>53</v>
      </c>
      <c r="C29" s="52"/>
      <c r="D29" s="59" t="s">
        <v>113</v>
      </c>
      <c r="E29" s="60"/>
      <c r="F29" s="61"/>
      <c r="G29" s="7"/>
      <c r="H29" s="18"/>
      <c r="I29" s="19"/>
      <c r="J29" s="1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7.5" customHeight="1" x14ac:dyDescent="0.2">
      <c r="A30" s="113"/>
      <c r="B30" s="51" t="s">
        <v>61</v>
      </c>
      <c r="C30" s="52"/>
      <c r="D30" s="59" t="s">
        <v>114</v>
      </c>
      <c r="E30" s="60"/>
      <c r="F30" s="61"/>
      <c r="G30" s="7"/>
      <c r="H30" s="18"/>
      <c r="I30" s="19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8.75" customHeight="1" x14ac:dyDescent="0.2">
      <c r="A31" s="113"/>
      <c r="B31" s="51" t="s">
        <v>66</v>
      </c>
      <c r="C31" s="52"/>
      <c r="D31" s="59" t="s">
        <v>115</v>
      </c>
      <c r="E31" s="60"/>
      <c r="F31" s="61"/>
      <c r="G31" s="7"/>
      <c r="H31" s="18"/>
      <c r="I31" s="19"/>
      <c r="J31" s="1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51.75" customHeight="1" x14ac:dyDescent="0.2">
      <c r="A32" s="113"/>
      <c r="B32" s="51" t="s">
        <v>107</v>
      </c>
      <c r="C32" s="52"/>
      <c r="D32" s="47" t="s">
        <v>116</v>
      </c>
      <c r="E32" s="48"/>
      <c r="F32" s="49"/>
      <c r="G32" s="7"/>
      <c r="H32" s="18"/>
      <c r="I32" s="19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8" customHeight="1" x14ac:dyDescent="0.2">
      <c r="A33" s="113"/>
      <c r="B33" s="51" t="s">
        <v>79</v>
      </c>
      <c r="C33" s="52"/>
      <c r="D33" s="44" t="s">
        <v>117</v>
      </c>
      <c r="E33" s="45"/>
      <c r="F33" s="46"/>
      <c r="G33" s="7"/>
      <c r="H33" s="18"/>
      <c r="I33" s="19"/>
      <c r="J33" s="1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45" customHeight="1" x14ac:dyDescent="0.2">
      <c r="A34" s="113"/>
      <c r="B34" s="51" t="s">
        <v>108</v>
      </c>
      <c r="C34" s="52"/>
      <c r="D34" s="47" t="s">
        <v>118</v>
      </c>
      <c r="E34" s="48"/>
      <c r="F34" s="49"/>
      <c r="G34" s="7"/>
      <c r="H34" s="18"/>
      <c r="I34" s="19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9.5" customHeight="1" x14ac:dyDescent="0.2">
      <c r="A35" s="113"/>
      <c r="B35" s="53" t="s">
        <v>106</v>
      </c>
      <c r="C35" s="54"/>
      <c r="D35" s="59" t="s">
        <v>119</v>
      </c>
      <c r="E35" s="60"/>
      <c r="F35" s="61"/>
      <c r="G35" s="7"/>
      <c r="H35" s="18"/>
      <c r="I35" s="14"/>
      <c r="J35" s="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37.5" customHeight="1" x14ac:dyDescent="0.2">
      <c r="A36" s="113"/>
      <c r="B36" s="53" t="s">
        <v>109</v>
      </c>
      <c r="C36" s="54"/>
      <c r="D36" s="47" t="s">
        <v>141</v>
      </c>
      <c r="E36" s="48"/>
      <c r="F36" s="49"/>
      <c r="G36" s="7"/>
      <c r="H36" s="18"/>
      <c r="I36" s="14"/>
      <c r="J36" s="1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46.5" customHeight="1" x14ac:dyDescent="0.2">
      <c r="A37" s="113"/>
      <c r="B37" s="50" t="s">
        <v>110</v>
      </c>
      <c r="C37" s="50"/>
      <c r="D37" s="44" t="s">
        <v>120</v>
      </c>
      <c r="E37" s="45"/>
      <c r="F37" s="46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46.5" customHeight="1" x14ac:dyDescent="0.2">
      <c r="A38" s="113"/>
      <c r="B38" s="50" t="s">
        <v>121</v>
      </c>
      <c r="C38" s="50"/>
      <c r="D38" s="47" t="s">
        <v>122</v>
      </c>
      <c r="E38" s="48"/>
      <c r="F38" s="49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46.5" customHeight="1" x14ac:dyDescent="0.2">
      <c r="A39" s="113"/>
      <c r="B39" s="50" t="s">
        <v>111</v>
      </c>
      <c r="C39" s="50"/>
      <c r="D39" s="47" t="s">
        <v>123</v>
      </c>
      <c r="E39" s="48"/>
      <c r="F39" s="49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46.5" customHeight="1" x14ac:dyDescent="0.2">
      <c r="A40" s="113"/>
      <c r="B40" s="50" t="s">
        <v>112</v>
      </c>
      <c r="C40" s="50"/>
      <c r="D40" s="47" t="s">
        <v>124</v>
      </c>
      <c r="E40" s="48"/>
      <c r="F40" s="49"/>
      <c r="G40" s="7"/>
      <c r="H40" s="18"/>
      <c r="I40" s="14"/>
      <c r="J40" s="14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46.5" customHeight="1" x14ac:dyDescent="0.2">
      <c r="A41" s="113"/>
      <c r="B41" s="50" t="s">
        <v>95</v>
      </c>
      <c r="C41" s="50"/>
      <c r="D41" s="47" t="s">
        <v>125</v>
      </c>
      <c r="E41" s="48"/>
      <c r="F41" s="49"/>
      <c r="G41" s="7"/>
      <c r="H41" s="18"/>
      <c r="I41" s="14"/>
      <c r="J41" s="14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46.5" customHeight="1" x14ac:dyDescent="0.2">
      <c r="A42" s="113"/>
      <c r="B42" s="50" t="s">
        <v>93</v>
      </c>
      <c r="C42" s="50"/>
      <c r="D42" s="47" t="s">
        <v>126</v>
      </c>
      <c r="E42" s="48"/>
      <c r="F42" s="49"/>
      <c r="G42" s="7"/>
      <c r="H42" s="18"/>
      <c r="I42" s="14"/>
      <c r="J42" s="14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42.75" customHeight="1" x14ac:dyDescent="0.2">
      <c r="A43" s="105" t="s">
        <v>27</v>
      </c>
      <c r="B43" s="102" t="s">
        <v>48</v>
      </c>
      <c r="C43" s="103"/>
      <c r="D43" s="47" t="s">
        <v>136</v>
      </c>
      <c r="E43" s="48"/>
      <c r="F43" s="49"/>
      <c r="G43" s="7"/>
      <c r="H43" s="18"/>
      <c r="I43" s="14"/>
      <c r="J43" s="14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42.75" customHeight="1" x14ac:dyDescent="0.2">
      <c r="A44" s="106"/>
      <c r="B44" s="102" t="s">
        <v>40</v>
      </c>
      <c r="C44" s="103"/>
      <c r="D44" s="104" t="s">
        <v>137</v>
      </c>
      <c r="E44" s="60"/>
      <c r="F44" s="61"/>
      <c r="G44" s="7"/>
      <c r="H44" s="18"/>
      <c r="I44" s="14"/>
      <c r="J44" s="14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42.75" customHeight="1" x14ac:dyDescent="0.2">
      <c r="A45" s="106"/>
      <c r="B45" s="102" t="s">
        <v>38</v>
      </c>
      <c r="C45" s="103"/>
      <c r="D45" s="104" t="s">
        <v>138</v>
      </c>
      <c r="E45" s="60"/>
      <c r="F45" s="61"/>
      <c r="G45" s="7"/>
      <c r="H45" s="18"/>
      <c r="I45" s="14"/>
      <c r="J45" s="14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42.75" customHeight="1" x14ac:dyDescent="0.2">
      <c r="A46" s="107"/>
      <c r="B46" s="102" t="s">
        <v>46</v>
      </c>
      <c r="C46" s="103"/>
      <c r="D46" s="104" t="s">
        <v>139</v>
      </c>
      <c r="E46" s="60"/>
      <c r="F46" s="61"/>
      <c r="G46" s="7"/>
      <c r="H46" s="18"/>
      <c r="I46" s="14"/>
      <c r="J46" s="14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5">
      <c r="A47" s="100"/>
      <c r="B47" s="101"/>
      <c r="C47" s="101"/>
      <c r="D47" s="101"/>
      <c r="E47" s="101"/>
      <c r="F47" s="101"/>
      <c r="G47" s="101"/>
      <c r="H47" s="10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5">
      <c r="A48" s="96" t="s">
        <v>12</v>
      </c>
      <c r="B48" s="97"/>
      <c r="C48" s="97"/>
      <c r="D48" s="97"/>
      <c r="E48" s="98"/>
      <c r="F48" s="99" t="s">
        <v>13</v>
      </c>
      <c r="G48" s="97"/>
      <c r="H48" s="9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5">
      <c r="A49" s="8">
        <v>12</v>
      </c>
      <c r="B49" s="63" t="s">
        <v>14</v>
      </c>
      <c r="C49" s="42"/>
      <c r="D49" s="42"/>
      <c r="E49" s="43"/>
      <c r="F49" s="41">
        <v>100</v>
      </c>
      <c r="G49" s="42"/>
      <c r="H49" s="43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5">
      <c r="A50" s="8">
        <v>11</v>
      </c>
      <c r="B50" s="38" t="s">
        <v>133</v>
      </c>
      <c r="C50" s="39"/>
      <c r="D50" s="39"/>
      <c r="E50" s="40"/>
      <c r="F50" s="41">
        <v>95</v>
      </c>
      <c r="G50" s="42"/>
      <c r="H50" s="43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5">
      <c r="A51" s="8">
        <v>10</v>
      </c>
      <c r="B51" s="38" t="s">
        <v>134</v>
      </c>
      <c r="C51" s="39"/>
      <c r="D51" s="39"/>
      <c r="E51" s="40"/>
      <c r="F51" s="41">
        <v>90</v>
      </c>
      <c r="G51" s="42"/>
      <c r="H51" s="43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5">
      <c r="A52" s="8">
        <v>9</v>
      </c>
      <c r="B52" s="38" t="s">
        <v>135</v>
      </c>
      <c r="C52" s="39"/>
      <c r="D52" s="39"/>
      <c r="E52" s="40"/>
      <c r="F52" s="41">
        <v>85</v>
      </c>
      <c r="G52" s="42"/>
      <c r="H52" s="43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5">
      <c r="A53" s="8">
        <v>8</v>
      </c>
      <c r="B53" s="38" t="s">
        <v>132</v>
      </c>
      <c r="C53" s="39"/>
      <c r="D53" s="39"/>
      <c r="E53" s="40"/>
      <c r="F53" s="41">
        <v>80</v>
      </c>
      <c r="G53" s="42"/>
      <c r="H53" s="43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5">
      <c r="A54" s="8">
        <v>7</v>
      </c>
      <c r="B54" s="38" t="s">
        <v>131</v>
      </c>
      <c r="C54" s="39"/>
      <c r="D54" s="39"/>
      <c r="E54" s="40"/>
      <c r="F54" s="41">
        <v>75</v>
      </c>
      <c r="G54" s="42"/>
      <c r="H54" s="4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5">
      <c r="A55" s="8">
        <v>6</v>
      </c>
      <c r="B55" s="38" t="s">
        <v>130</v>
      </c>
      <c r="C55" s="39"/>
      <c r="D55" s="39"/>
      <c r="E55" s="40"/>
      <c r="F55" s="41">
        <v>70</v>
      </c>
      <c r="G55" s="42"/>
      <c r="H55" s="4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5">
      <c r="A56" s="8">
        <v>5</v>
      </c>
      <c r="B56" s="70" t="s">
        <v>129</v>
      </c>
      <c r="C56" s="42"/>
      <c r="D56" s="42"/>
      <c r="E56" s="43"/>
      <c r="F56" s="41">
        <v>65</v>
      </c>
      <c r="G56" s="42"/>
      <c r="H56" s="43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5">
      <c r="A57" s="8">
        <v>4</v>
      </c>
      <c r="B57" s="70" t="s">
        <v>128</v>
      </c>
      <c r="C57" s="42"/>
      <c r="D57" s="42"/>
      <c r="E57" s="43"/>
      <c r="F57" s="41">
        <v>60</v>
      </c>
      <c r="G57" s="42"/>
      <c r="H57" s="43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8">
        <v>3</v>
      </c>
      <c r="B58" s="70" t="s">
        <v>127</v>
      </c>
      <c r="C58" s="42"/>
      <c r="D58" s="42"/>
      <c r="E58" s="43"/>
      <c r="F58" s="41">
        <v>55</v>
      </c>
      <c r="G58" s="42"/>
      <c r="H58" s="43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5">
      <c r="A59" s="8">
        <v>2</v>
      </c>
      <c r="B59" s="62" t="s">
        <v>15</v>
      </c>
      <c r="C59" s="42"/>
      <c r="D59" s="42"/>
      <c r="E59" s="43"/>
      <c r="F59" s="41">
        <v>50</v>
      </c>
      <c r="G59" s="42"/>
      <c r="H59" s="43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5">
      <c r="A60" s="8">
        <v>1</v>
      </c>
      <c r="B60" s="63" t="s">
        <v>16</v>
      </c>
      <c r="C60" s="42"/>
      <c r="D60" s="42"/>
      <c r="E60" s="43"/>
      <c r="F60" s="41">
        <v>30</v>
      </c>
      <c r="G60" s="42"/>
      <c r="H60" s="43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9"/>
      <c r="B61" s="9"/>
      <c r="C61" s="9"/>
      <c r="D61" s="10"/>
      <c r="E61" s="10"/>
      <c r="F61" s="11"/>
      <c r="G61" s="12"/>
      <c r="H61" s="1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12"/>
      <c r="B62" s="12"/>
      <c r="C62" s="13"/>
      <c r="D62" s="16" t="s">
        <v>17</v>
      </c>
      <c r="E62" s="16" t="s">
        <v>18</v>
      </c>
      <c r="F62" s="16" t="s">
        <v>19</v>
      </c>
      <c r="G62" s="12"/>
      <c r="H62" s="1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12"/>
      <c r="B63" s="12"/>
      <c r="C63" s="12"/>
      <c r="D63" s="17" t="s">
        <v>20</v>
      </c>
      <c r="E63" s="64">
        <v>1</v>
      </c>
      <c r="F63" s="64">
        <v>0</v>
      </c>
      <c r="G63" s="66" t="s">
        <v>44</v>
      </c>
      <c r="H63" s="68" t="s">
        <v>45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12"/>
      <c r="B64" s="12"/>
      <c r="C64" s="12"/>
      <c r="D64" s="35" t="s">
        <v>21</v>
      </c>
      <c r="E64" s="65"/>
      <c r="F64" s="65"/>
      <c r="G64" s="67"/>
      <c r="H64" s="6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25.5" customHeight="1" x14ac:dyDescent="0.2">
      <c r="A65" s="58" t="s">
        <v>36</v>
      </c>
      <c r="B65" s="58"/>
      <c r="C65" s="58"/>
      <c r="D65" s="58"/>
      <c r="E65" s="58"/>
      <c r="F65" s="58"/>
      <c r="G65" s="58"/>
      <c r="H65" s="58"/>
      <c r="I65" s="58"/>
      <c r="J65" s="58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 x14ac:dyDescent="0.2">
      <c r="A187" s="1"/>
      <c r="B187" s="1"/>
      <c r="C187" s="1"/>
      <c r="D187" s="1"/>
      <c r="E187" s="1"/>
      <c r="F187" s="4"/>
      <c r="G187" s="5"/>
      <c r="H187" s="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 x14ac:dyDescent="0.2">
      <c r="A188" s="1"/>
      <c r="B188" s="1"/>
      <c r="C188" s="1"/>
      <c r="D188" s="1"/>
      <c r="E188" s="1"/>
      <c r="F188" s="4"/>
      <c r="G188" s="5"/>
      <c r="H188" s="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 x14ac:dyDescent="0.2">
      <c r="A189" s="1"/>
      <c r="B189" s="1"/>
      <c r="C189" s="1"/>
      <c r="D189" s="1"/>
      <c r="E189" s="1"/>
      <c r="F189" s="4"/>
      <c r="G189" s="5"/>
      <c r="H189" s="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 x14ac:dyDescent="0.2">
      <c r="A190" s="1"/>
      <c r="B190" s="1"/>
      <c r="C190" s="1"/>
      <c r="D190" s="1"/>
      <c r="E190" s="1"/>
      <c r="F190" s="4"/>
      <c r="G190" s="5"/>
      <c r="H190" s="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2.75" customHeight="1" x14ac:dyDescent="0.2">
      <c r="A191" s="1"/>
      <c r="B191" s="1"/>
      <c r="C191" s="1"/>
      <c r="D191" s="1"/>
      <c r="E191" s="1"/>
      <c r="F191" s="4"/>
      <c r="G191" s="5"/>
      <c r="H191" s="4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2.75" customHeight="1" x14ac:dyDescent="0.2">
      <c r="A192" s="1"/>
      <c r="B192" s="1"/>
      <c r="C192" s="1"/>
      <c r="D192" s="1"/>
      <c r="E192" s="1"/>
      <c r="F192" s="4"/>
      <c r="G192" s="5"/>
      <c r="H192" s="4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</sheetData>
  <mergeCells count="120">
    <mergeCell ref="B46:C46"/>
    <mergeCell ref="F50:H50"/>
    <mergeCell ref="B55:E55"/>
    <mergeCell ref="B51:E51"/>
    <mergeCell ref="F51:H51"/>
    <mergeCell ref="B49:E49"/>
    <mergeCell ref="F49:H49"/>
    <mergeCell ref="B50:E50"/>
    <mergeCell ref="A24:J24"/>
    <mergeCell ref="A25:J25"/>
    <mergeCell ref="B29:C29"/>
    <mergeCell ref="A29:A42"/>
    <mergeCell ref="D34:F34"/>
    <mergeCell ref="D36:F36"/>
    <mergeCell ref="D33:F33"/>
    <mergeCell ref="D46:F46"/>
    <mergeCell ref="D35:F35"/>
    <mergeCell ref="A26:J26"/>
    <mergeCell ref="A27:C28"/>
    <mergeCell ref="D27:F28"/>
    <mergeCell ref="G27:J27"/>
    <mergeCell ref="D29:F29"/>
    <mergeCell ref="D31:F31"/>
    <mergeCell ref="D32:F32"/>
    <mergeCell ref="G5:J7"/>
    <mergeCell ref="I2:J2"/>
    <mergeCell ref="I11:J11"/>
    <mergeCell ref="A6:B7"/>
    <mergeCell ref="C4:D5"/>
    <mergeCell ref="C6:D7"/>
    <mergeCell ref="A4:B5"/>
    <mergeCell ref="A8:J8"/>
    <mergeCell ref="I9:J9"/>
    <mergeCell ref="I10:J10"/>
    <mergeCell ref="G9:H9"/>
    <mergeCell ref="G10:H10"/>
    <mergeCell ref="G11:H11"/>
    <mergeCell ref="E4:F4"/>
    <mergeCell ref="E5:F5"/>
    <mergeCell ref="E6:F7"/>
    <mergeCell ref="A1:J1"/>
    <mergeCell ref="G2:H2"/>
    <mergeCell ref="C2:D3"/>
    <mergeCell ref="I3:J3"/>
    <mergeCell ref="E2:F2"/>
    <mergeCell ref="E3:F3"/>
    <mergeCell ref="A2:B3"/>
    <mergeCell ref="G3:H3"/>
    <mergeCell ref="G4:J4"/>
    <mergeCell ref="A65:J65"/>
    <mergeCell ref="G16:H16"/>
    <mergeCell ref="G15:H15"/>
    <mergeCell ref="G14:H14"/>
    <mergeCell ref="G13:H13"/>
    <mergeCell ref="B30:C30"/>
    <mergeCell ref="D30:F30"/>
    <mergeCell ref="B59:E59"/>
    <mergeCell ref="F59:H59"/>
    <mergeCell ref="B60:E60"/>
    <mergeCell ref="F60:H60"/>
    <mergeCell ref="E63:E64"/>
    <mergeCell ref="F63:F64"/>
    <mergeCell ref="G63:G64"/>
    <mergeCell ref="H63:H64"/>
    <mergeCell ref="B56:E56"/>
    <mergeCell ref="F56:H56"/>
    <mergeCell ref="B57:E57"/>
    <mergeCell ref="F57:H57"/>
    <mergeCell ref="B58:E58"/>
    <mergeCell ref="F58:H58"/>
    <mergeCell ref="F55:H55"/>
    <mergeCell ref="A48:E48"/>
    <mergeCell ref="F48:H48"/>
    <mergeCell ref="B34:C34"/>
    <mergeCell ref="B35:C35"/>
    <mergeCell ref="B36:C36"/>
    <mergeCell ref="B37:C37"/>
    <mergeCell ref="B38:C38"/>
    <mergeCell ref="G12:H12"/>
    <mergeCell ref="I12:J12"/>
    <mergeCell ref="I13:J13"/>
    <mergeCell ref="I14:J14"/>
    <mergeCell ref="I15:J15"/>
    <mergeCell ref="I16:J16"/>
    <mergeCell ref="G17:H17"/>
    <mergeCell ref="I17:J17"/>
    <mergeCell ref="G18:H18"/>
    <mergeCell ref="I18:J18"/>
    <mergeCell ref="B33:C33"/>
    <mergeCell ref="B31:C31"/>
    <mergeCell ref="B32:C32"/>
    <mergeCell ref="A23:J23"/>
    <mergeCell ref="A19:J19"/>
    <mergeCell ref="A20:J20"/>
    <mergeCell ref="A22:J22"/>
    <mergeCell ref="A21:J21"/>
    <mergeCell ref="B52:E52"/>
    <mergeCell ref="F52:H52"/>
    <mergeCell ref="B53:E53"/>
    <mergeCell ref="F53:H53"/>
    <mergeCell ref="B54:E54"/>
    <mergeCell ref="F54:H54"/>
    <mergeCell ref="D37:F37"/>
    <mergeCell ref="D38:F38"/>
    <mergeCell ref="B39:C39"/>
    <mergeCell ref="B42:C42"/>
    <mergeCell ref="D39:F39"/>
    <mergeCell ref="B40:C40"/>
    <mergeCell ref="D40:F40"/>
    <mergeCell ref="B41:C41"/>
    <mergeCell ref="D41:F41"/>
    <mergeCell ref="D42:F42"/>
    <mergeCell ref="A47:H47"/>
    <mergeCell ref="B45:C45"/>
    <mergeCell ref="D45:F45"/>
    <mergeCell ref="A43:A46"/>
    <mergeCell ref="B43:C43"/>
    <mergeCell ref="D43:F43"/>
    <mergeCell ref="B44:C44"/>
    <mergeCell ref="D44:F44"/>
  </mergeCells>
  <phoneticPr fontId="32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Ensino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pcsenai senai</cp:lastModifiedBy>
  <cp:lastPrinted>2024-09-27T22:52:57Z</cp:lastPrinted>
  <dcterms:created xsi:type="dcterms:W3CDTF">2014-10-03T14:17:32Z</dcterms:created>
  <dcterms:modified xsi:type="dcterms:W3CDTF">2026-02-09T18:43:18Z</dcterms:modified>
</cp:coreProperties>
</file>