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698E288B-5912-4B82-8CCE-780B7C177E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1" sheetId="2" r:id="rId1"/>
    <sheet name="Plano de Ensino2" sheetId="6" r:id="rId2"/>
    <sheet name="Atividades-IP" sheetId="5" r:id="rId3"/>
    <sheet name="Atividade1-Arduino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2" i="6" l="1"/>
  <c r="B13" i="2"/>
</calcChain>
</file>

<file path=xl/sharedStrings.xml><?xml version="1.0" encoding="utf-8"?>
<sst xmlns="http://schemas.openxmlformats.org/spreadsheetml/2006/main" count="201" uniqueCount="135">
  <si>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</si>
  <si>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</si>
  <si>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</si>
  <si>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</si>
  <si>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</si>
  <si>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</si>
  <si>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</si>
  <si>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</si>
  <si>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</si>
  <si>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</si>
  <si>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</si>
  <si>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</si>
  <si>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</si>
  <si>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</si>
  <si>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</si>
  <si>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</si>
  <si>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</si>
  <si>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</si>
  <si>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</si>
  <si>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</si>
  <si>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</si>
  <si>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</si>
  <si>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</si>
  <si>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</si>
  <si>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</si>
  <si>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</si>
  <si>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</si>
  <si>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</si>
  <si>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</si>
  <si>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</si>
  <si>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</si>
  <si>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</si>
  <si>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</si>
  <si>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</si>
  <si>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</si>
  <si>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</si>
  <si>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</si>
  <si>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</si>
  <si>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>3. Demonstrar inteligência emocional</t>
  </si>
  <si>
    <t>Técnico em Desenvolvimento de Sistemas</t>
  </si>
  <si>
    <t>Projetor Multimídia, Computador com acesso a internet, Quadro Branco.</t>
  </si>
  <si>
    <t xml:space="preserve">2. Demonstrar pensamento analítico </t>
  </si>
  <si>
    <t>Docente : Wellington Fábio de O. Martins</t>
  </si>
  <si>
    <t>Data:    /    /2026</t>
  </si>
  <si>
    <t>Dia01 Dia02 Dia03</t>
  </si>
  <si>
    <t>Dia04 Dia05 Dia06 Dia07</t>
  </si>
  <si>
    <t>Avaliação Formativa - Projeto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</si>
  <si>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</si>
  <si>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</si>
  <si>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</si>
  <si>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</si>
  <si>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</si>
  <si>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</si>
  <si>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4 Demonstrar autonomia</t>
  </si>
  <si>
    <t>Desenvolver capacidades básicas e socioemocionais necessárias para utilizar serviços de redes locais e industriais, para aplicações em nuvens públicas e privadas</t>
  </si>
  <si>
    <t>ARQUITETURA DE REDES COM IOT</t>
  </si>
  <si>
    <t>Data: 09/02/2026</t>
  </si>
  <si>
    <t>1 Identificar as topologias empregadas nas redes de computadores</t>
  </si>
  <si>
    <t>2 Identificar modelos e protocolo TCP/IP de rede e suas aplicações na comunicação entre sistemas computacionais</t>
  </si>
  <si>
    <t>3 Utilizar ativos e passivos que compõem uma rede de computadores</t>
  </si>
  <si>
    <t>1 Arquitetura de Redes
1.1. Definição
1.2. Tipos
1.2.1.Rede Cliente-Servidor
1.2.2.Rede Peer-to-Peer (P2P)
1.2.3.Rede em Camadas
1.2.4.Rede em Árvore (Hierárquica)
1.2.5.Rede em Anel (Ring)
1.2.6.Rede em Malha (Mesh)
1.3. Meios de transmissão de dados
1.3.1.Cabeado
1.3.2.Sem fio</t>
  </si>
  <si>
    <t>2 Modelos e protocolo de redes
2.1. Definição
2.2. Protocolo TCP/IP
2.2.1.Definição
2.2.2.Endereçamento de IPv4
2.2.3.Endereçamento de IPv6
2.2.4.Portas
2.3. Protocolo MQTT (Message Queuing Telemetry Transport)
2.3.1.Definição
2.3.2.Aplicação</t>
  </si>
  <si>
    <t>3 Equipamentos de rede
3.1. Roteador
3.2. Switch
3.3. Access Point
3.4. Gateway
3.5. Firewall</t>
  </si>
  <si>
    <t>O que são redes de computadores? O que são equipamentos de rede? Quais os elementos principais de uma comunicação? O que é uma topologia? Toda topologia  tem que ser cabeada? Por que não precisa ser cabeada?</t>
  </si>
  <si>
    <t>O que são protocolos de rede? O que é um protocolo no geral? Por que o nome TCP/IP do protocolo mais utilizado atualmente? Cite diferenças entre IPv4 e IPv6? Por quê a internet ainda utiliza IPv4</t>
  </si>
  <si>
    <t>Aula expositiva, Listas de exercícios, Aulas práticas configurando laptops em rede e climpando pontas de cabos de rede.</t>
  </si>
  <si>
    <t>Aula expositiva e dialogada, Aula prática configurando equipamentos de rede siples "access point", trabalho em grupo resolvendo o desafio de um orçamento e elaborando um projeto de redes.</t>
  </si>
  <si>
    <t>Aula expositiva, demonstração,Desafios com interação online "Kahoot", Dinâmica "Telefone sem fio"</t>
  </si>
  <si>
    <t>Quais as diferenças entre um roteador e um access point? Cite diferenças entre Hub e Switch? Para que serve um fiewall? O que é o Gateway?</t>
  </si>
  <si>
    <t>Listas de exercícios, Situação problema</t>
  </si>
  <si>
    <t>Listas de exercícios, Estudos de caso.</t>
  </si>
  <si>
    <t>Ttrabalho em grupo resolvendo o desafio de um orçamento e elaborando um projeto de redes.</t>
  </si>
  <si>
    <t>1 Dado o IP 192.168.10.5/24, qual é a máscara de subrede?</t>
  </si>
  <si>
    <t>2 Dado o IP 10.87.202.132/25 qual é o gateway e máscara de subrede?</t>
  </si>
  <si>
    <t>3 Dado o IP 172.16.100.25/24 qual é o gateway, máscara de subrede e broadcast?</t>
  </si>
  <si>
    <t>4 Dado o IP 172.16.100.25/24 qual é o gateway, máscara de subrede e broadcast?</t>
  </si>
  <si>
    <t>5 Dado o IP 192.168.1.144/26 qual a máscara, o IP da rede, o Gateway e o Broadcast?</t>
  </si>
  <si>
    <t>A empresa WFOM Engenharia pretende abrir uma nova filial em Jaguariúna e já alugou o segundo andar de um prédio, onde montará seu escritório. Contará com cinco funcionários, além da equipe de limpeza e outros serviços terceirizados. Os funcionários são: um atendente de relacionamento com clientes que ficará na recepção, dois engenheiros civis e dois técnicos em edificações. A planta do escritório conta com uma recepção, uma sala para cada engenheiro e uma sala onde os dois técnicos trabalharão juntos, uma sala de reuniões e uma sala para demonstrações e atendimentos aos clientes, com um Datashow, onde os projetos serão apresentados e discutidos.</t>
  </si>
  <si>
    <r>
      <t>Como técnico em desenvolvimento de sistemas, você também é empreendedor e possui uma consultoria que fornece, além de sistemas, também hardware, softwares e manutenção de equipamentos de TI para escritórios em geral. Foi procurado por um representante da WFOM solicitando uma análise técnica dos equipamentos necessários, um orçamento para aquisição destes e uma proposta de contrato de manutenção por um ano.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1 Identificar as topologias empregadas nas redes de computadores.]
O atendente e os dois técnicos em edificações, vão trabalhar a maior parte do tempo dentro da filial e utilizarão softwares com alto poder de processamento de imagens vetoriais 2D e 3D, como AutoCad e Inventor. Já os dois engenheiros ficarão parte do tempo no escritório e outra parte acompanhando as obras e necessitarão dos mesmos softwares, porém em computadores portáteis. O orçamento para cumprir todos os requisitos (hardware + licenças dos softwares + projeto de manutenção anual) é de R$100.000,00.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 xml:space="preserve">: 2 Identificar modelos e protocolo TCP/IP de rede e suas aplicações na comunicação entre sistemas computacionais] 	 	 	 	 	 	 	 </t>
    </r>
  </si>
  <si>
    <r>
      <t>Elabore um orçamento utilizando o Excel contendo as especificações dos hardwares e softwares necessários para atender as necessidades de cada perfil de usuário da nova filial – PC (Gabinetes, Placa mãe, HD, Memória RAM, Placa de Vídeo, Monitor), Notebooks (Placa mãe, HD, Memória RAM, Placa de Vídeo), Impressoras, Projetor, etc. Exporte no formato PDF e anexe nesta atividade.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3 Utilizar ativos e passivos que compõem uma rede de computadores]
Elabore também um contrato de manutenção dos equipamentos e softwares utilize o Word por um período de um ano (Especifique os tipos de serviços prestados, formatação, backup, etc.).A20</t>
    </r>
  </si>
  <si>
    <r>
      <t xml:space="preserve">Crie um repositório no </t>
    </r>
    <r>
      <rPr>
        <b/>
        <sz val="11"/>
        <color theme="1"/>
        <rFont val="Arial"/>
        <family val="2"/>
      </rPr>
      <t>github</t>
    </r>
    <r>
      <rPr>
        <sz val="11"/>
        <color theme="1"/>
        <rFont val="Arial"/>
        <family val="2"/>
      </rPr>
      <t xml:space="preserve"> contendo os dois arquivos, contrato no Word e Orçamento em Excel além de um README.md com esta explicação do desafio e um resumo da proposta. Envie o link do repositório no link que o instrutor irá disponibilizar juntamente com os nomes dos integrantes do grupo.</t>
    </r>
  </si>
  <si>
    <t>1 Demonstrar autogestão</t>
  </si>
  <si>
    <t>Lista de exercícios</t>
  </si>
  <si>
    <t>Atividade</t>
  </si>
  <si>
    <t>Resolução</t>
  </si>
  <si>
    <t>Identidicou a topologia a ser empregada para solucionar o desafio</t>
  </si>
  <si>
    <t>Descreveu no orçamento os equipamentos compatíveis como pontos de acesso sem fio e quantidade de cabos</t>
  </si>
  <si>
    <t>Descreveu a rede utilizando o IPv4</t>
  </si>
  <si>
    <t>Justificou qual classe de IPv4 e máscara irá utilizar</t>
  </si>
  <si>
    <t>Criou o orçamento descrevendo os equipamentos que irá utilizar.</t>
  </si>
  <si>
    <t>Descreveu tecnicamente as funções, configurações e desempenho mínimo dos equipamentos em enfatizar a marca.</t>
  </si>
  <si>
    <t>Cooperou para que o grupo cumprisse todas as tarefas solicitadas</t>
  </si>
  <si>
    <t>Desempenhou seu papel no grupo cumprindo a tarefa que foi designado compreendendo seu papel no resultado final</t>
  </si>
  <si>
    <t>Resolveu eventuais conflitos oriundos do trabalho em equipe, cobrança de resultados e manteve o relacionamento interpessoal.</t>
  </si>
  <si>
    <t>Cumpriu os prasos e entregou todas as entregas solicitadas integralmente.</t>
  </si>
  <si>
    <t>Acertou todos os critérios críticos e pelo menos 5 dos 6 desejáveis</t>
  </si>
  <si>
    <t>4 Aplicar arquitetura de hardware em IoT</t>
  </si>
  <si>
    <t>5 Configurar os tipos de serviços fundamentais de redes</t>
  </si>
  <si>
    <t>4 Arquitetura de hardware IoT
4.1. Unidades de medidas computacionais
4.2. I/O (Inputs e Outputs)
4.3. Processadores
4.4. Sensores
4.5. Memórias
4.6. Armazenamento</t>
  </si>
  <si>
    <t>Aula expositiva, Listas de exercícios, Aulas práticas utilizando o simulador Thinkercad</t>
  </si>
  <si>
    <t>Aula expositiva, demonstração,Desafios com interação online "Kahoot". Atividades práticas no computador</t>
  </si>
  <si>
    <t>Listas de exercícios, Trabalho em grupo resolvendo situação problema.</t>
  </si>
  <si>
    <t>Listas de exercícios e Respostas a questionários.</t>
  </si>
  <si>
    <t>5 Serviços de Redes
5.1. Definição
5.2. Tipos
5.2.1.FTP (File Transfer Protocol)
5.2.2.HTTP/HTTPS (Hypertext Transfer Protocol/Seguro)
5.2.3.RDP (Remote Desktop Protocol)</t>
  </si>
  <si>
    <t>O que é Iot? Por que a indústria está dependente da internet das coisas? O que são sensores? Qual a diferença entre um sensor e um atuador? O que é um microcontrolador? Qual a diferença entre um ARDUINO e uma Raspbarry PI?</t>
  </si>
  <si>
    <t>Por que utilizamos protocolo de transferência de arquivos atualmente? Qual a diferença entre o protocolo HTTP e HTTPS? Qual protocolo utilizamos para compartilhar a área de trabalho remotamente?</t>
  </si>
  <si>
    <t>Desafio</t>
  </si>
  <si>
    <t>Contextualização</t>
  </si>
  <si>
    <t>Sr. Adolfo é síndico de um condomínio muito grande, possui mais de 1500 casas com duas vagas na garagem cada uma. Nos horários de pico o cruzamento principal que leva a portaria fica congestionado, para resolver o problema precisa instalar um semáforo</t>
  </si>
  <si>
    <t>Construa dois semaforos controlados por um Arduíno UNO para o cruzamento da portaria, como protótipo, deixe a luz verde com 2,5 segundos, a amarela com 0,5 segundos e o vermelho com 3 segundos, garanta que não haja acidentes causados por má programação dos semáforos</t>
  </si>
  <si>
    <t>Protótipo</t>
  </si>
  <si>
    <t xml:space="preserve"> </t>
  </si>
  <si>
    <t>Entrega</t>
  </si>
  <si>
    <t>Automação indústrial normalmente é um processo caro que requer muita qualificação dos engenheiros envolvidos e equipamentos de ultima geração. Como parte da equipe de automação da empresa XPTO você possui algumas demandas de desenvolvimento de protótipos e precisa resolver alguns desafios</t>
  </si>
  <si>
    <t xml:space="preserve">1) Controlar um servo motor (Micro Servo) ao girar um potenciômetro de 1Kohm, para isso será necessário utilizar um capacitor de 100 mF para completar o circuito com o Micro servo, conforme ilutração a seguir. Utilizando o simulador ThinkerCad, codifique um programa para controlar o giro do Micro servo ao girar o potenciômetro.
</t>
  </si>
  <si>
    <t>2) A seguir temos um Arduino UNO conectado a um display de 7 seguimentos, para isso será necessário 8 resistores de 470ohms, um resistor de 4.7Kohms ligado ao Botão de comando. O código ao lado é um contador de 0 a 9 quando o botão é pressionado.</t>
  </si>
  <si>
    <r>
      <t>1) Tire print dos seus protótipos e dos respectivos códigos.
2) Em um repositório público do github crie uma pasta de imagens e envie os prints
3) Edite um arquivo README.md colocando uma Introdução, objetivos e os protótipos explicando as funcionalidades e os problemas que eles resolvem.
4) Envie o link do repositório ao instrutor para ser avaliado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5 Configurar os tipos de serviços fundamentais de redes]</t>
    </r>
  </si>
  <si>
    <r>
      <t>Você precisa trocar o botão por um potenciômetro de 1Kohm que quando girado no sentido horário aumente de 0 a 9 e mostre no display e ao ser girado no sentido oposto diminua o contador. 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:4 Aplicar arquitetura de hardware em IoT]</t>
    </r>
  </si>
  <si>
    <t>Implementou ao menos uma solução no simulador.</t>
  </si>
  <si>
    <t>Implementou as duas soluções no simulador com eficácia</t>
  </si>
  <si>
    <t>Criou o repositório público no github</t>
  </si>
  <si>
    <t>Implementou as duas soluções no simulador com os componentes indicado e as ligações conforme instruções.</t>
  </si>
  <si>
    <t>Enviou ao menos um print de tela para o repositório</t>
  </si>
  <si>
    <t>Enviou os prints e editou o arquivo README.md conforme as orientações</t>
  </si>
  <si>
    <t>Entendeu os problemas propostos e relacionou aos conceitos estudados para implementar as soluções mesmo que não tenha solucionado as duas por completo</t>
  </si>
  <si>
    <t>Pesquisou dados em suas próprias bases de conhecimento e em outras fontes a fim de encontrar uma solução, usando IA apenas como auxílio, entendendo sua proposta de solução e não apenas copiando e colando</t>
  </si>
  <si>
    <t>Entendeu e executou todas as tarefas tirando dúvidas com o instrutor ou colegas se necessário</t>
  </si>
  <si>
    <t>Entendeu e executou ao menos uma das tarefas tirando dúvidas com o instrutor ou colegas se necessário</t>
  </si>
  <si>
    <t>Dia18 Dia19 Dia20</t>
  </si>
  <si>
    <t>Dia15 Dia16 Dia17</t>
  </si>
  <si>
    <t>Carga Horária Presencial: 30</t>
  </si>
  <si>
    <t>Carga Horária Total: 30</t>
  </si>
  <si>
    <t>Carga Horária Presencial: 70</t>
  </si>
  <si>
    <t>Carga Horária Total: 70</t>
  </si>
  <si>
    <t>Dia08 Dia09 Dia10 Dia11 Dia12 Dia13 Dia14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</si>
</sst>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u/>
      <sz val="12"/>
      <color rgb="FF0969DA"/>
      <name val="Segoe UI"/>
      <family val="2"/>
    </font>
    <font>
      <sz val="16.5"/>
      <color rgb="FF1F2328"/>
      <name val="Segoe UI"/>
      <family val="2"/>
    </font>
    <font>
      <sz val="11"/>
      <color theme="1"/>
      <name val="Arial"/>
      <family val="2"/>
      <scheme val="minor"/>
    </font>
    <font>
      <sz val="11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8" fillId="0" borderId="0" xfId="0" applyFont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0" xfId="0" applyFont="1"/>
    <xf numFmtId="0" fontId="13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2" fillId="0" borderId="0" xfId="0" applyNumberFormat="1" applyFont="1"/>
    <xf numFmtId="165" fontId="12" fillId="0" borderId="1" xfId="0" applyNumberFormat="1" applyFont="1" applyBorder="1"/>
    <xf numFmtId="0" fontId="12" fillId="0" borderId="1" xfId="0" applyFont="1" applyBorder="1"/>
    <xf numFmtId="0" fontId="12" fillId="0" borderId="0" xfId="0" applyFont="1"/>
    <xf numFmtId="0" fontId="12" fillId="0" borderId="8" xfId="0" applyFont="1" applyBorder="1"/>
    <xf numFmtId="0" fontId="8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2" fillId="0" borderId="1" xfId="0" applyFont="1" applyBorder="1" applyAlignment="1">
      <alignment vertical="top"/>
    </xf>
    <xf numFmtId="0" fontId="8" fillId="0" borderId="16" xfId="0" applyFont="1" applyBorder="1" applyAlignment="1">
      <alignment wrapText="1"/>
    </xf>
    <xf numFmtId="0" fontId="27" fillId="0" borderId="11" xfId="0" applyFont="1" applyBorder="1" applyAlignment="1">
      <alignment wrapText="1"/>
    </xf>
    <xf numFmtId="0" fontId="28" fillId="0" borderId="11" xfId="0" applyFont="1" applyBorder="1" applyAlignment="1">
      <alignment horizontal="left" wrapText="1"/>
    </xf>
    <xf numFmtId="0" fontId="29" fillId="0" borderId="11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164" fontId="30" fillId="0" borderId="11" xfId="0" applyNumberFormat="1" applyFont="1" applyBorder="1" applyAlignment="1">
      <alignment horizontal="center" vertical="center" wrapText="1"/>
    </xf>
    <xf numFmtId="164" fontId="27" fillId="0" borderId="16" xfId="0" applyNumberFormat="1" applyFont="1" applyBorder="1" applyAlignment="1">
      <alignment horizontal="center" vertical="center" wrapText="1"/>
    </xf>
    <xf numFmtId="164" fontId="27" fillId="0" borderId="11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 wrapText="1"/>
    </xf>
    <xf numFmtId="0" fontId="29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164" fontId="30" fillId="0" borderId="1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wrapText="1"/>
    </xf>
    <xf numFmtId="0" fontId="27" fillId="0" borderId="5" xfId="0" applyFont="1" applyBorder="1" applyAlignment="1">
      <alignment horizontal="center" vertical="center" wrapText="1"/>
    </xf>
    <xf numFmtId="0" fontId="0" fillId="0" borderId="22" xfId="0" applyBorder="1"/>
    <xf numFmtId="0" fontId="0" fillId="0" borderId="27" xfId="0" applyBorder="1"/>
    <xf numFmtId="0" fontId="0" fillId="0" borderId="23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0" fontId="0" fillId="0" borderId="20" xfId="0" applyBorder="1"/>
    <xf numFmtId="0" fontId="40" fillId="0" borderId="0" xfId="0" applyFont="1" applyAlignment="1">
      <alignment vertical="center" wrapText="1"/>
    </xf>
    <xf numFmtId="0" fontId="41" fillId="5" borderId="28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left" vertical="center" wrapText="1" indent="1"/>
    </xf>
    <xf numFmtId="0" fontId="39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1" fillId="0" borderId="0" xfId="0" applyFont="1"/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/>
    <xf numFmtId="0" fontId="19" fillId="0" borderId="11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26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26" fillId="0" borderId="4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4" fillId="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wrapText="1"/>
    </xf>
    <xf numFmtId="0" fontId="3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1" fillId="0" borderId="22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textRotation="90" wrapText="1"/>
    </xf>
    <xf numFmtId="0" fontId="11" fillId="0" borderId="21" xfId="0" applyFont="1" applyBorder="1" applyAlignment="1">
      <alignment horizontal="center" vertical="center" textRotation="90" wrapText="1"/>
    </xf>
    <xf numFmtId="0" fontId="11" fillId="0" borderId="16" xfId="0" applyFont="1" applyBorder="1" applyAlignment="1">
      <alignment horizontal="center" vertical="center" textRotation="90" wrapText="1"/>
    </xf>
    <xf numFmtId="0" fontId="35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0" fillId="0" borderId="11" xfId="0" applyBorder="1"/>
    <xf numFmtId="0" fontId="32" fillId="0" borderId="11" xfId="0" applyFont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/>
    </xf>
    <xf numFmtId="164" fontId="30" fillId="0" borderId="11" xfId="0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horizontal="center" vertical="top" wrapText="1"/>
    </xf>
    <xf numFmtId="0" fontId="31" fillId="0" borderId="14" xfId="0" applyFont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11" fillId="2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textRotation="90"/>
    </xf>
    <xf numFmtId="0" fontId="4" fillId="0" borderId="16" xfId="0" applyFont="1" applyBorder="1" applyAlignment="1">
      <alignment textRotation="90"/>
    </xf>
    <xf numFmtId="0" fontId="36" fillId="0" borderId="11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 vertical="top" wrapText="1"/>
    </xf>
    <xf numFmtId="0" fontId="27" fillId="0" borderId="5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0" fontId="21" fillId="0" borderId="14" xfId="0" applyFont="1" applyBorder="1" applyAlignment="1">
      <alignment horizontal="center" vertical="top" wrapText="1"/>
    </xf>
    <xf numFmtId="0" fontId="31" fillId="0" borderId="17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jp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s://github.com/wellifabio/senai2024/blob/main/iot/aula09/desafio.png" TargetMode="External"/><Relationship Id="rId1" Type="http://schemas.openxmlformats.org/officeDocument/2006/relationships/hyperlink" Target="https://github.com/wellifabio/senai2024/blob/main/iot/aula09/cruzamento.webp" TargetMode="External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85725</xdr:colOff>
      <xdr:row>18</xdr:row>
      <xdr:rowOff>38100</xdr:rowOff>
    </xdr:from>
    <xdr:to>
      <xdr:col>3</xdr:col>
      <xdr:colOff>2047875</xdr:colOff>
      <xdr:row>18</xdr:row>
      <xdr:rowOff>3057525</xdr:rowOff>
    </xdr:to>
    <xdr:pic>
      <xdr:nvPicPr>
        <xdr:cNvPr id="3" name="Imagem 2" descr="Planta">
          <a:extLst>
            <a:ext uri="{FF2B5EF4-FFF2-40B4-BE49-F238E27FC236}">
              <a16:creationId xmlns:a16="http://schemas.microsoft.com/office/drawing/2014/main" id="{7D52D1C2-AE0A-2BB8-0FB5-E31A75AD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3306425"/>
          <a:ext cx="4914900" cy="301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948A4DD5-6F66-4391-BEBA-5DE3A47317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7850" y="9525"/>
          <a:ext cx="17526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68036</xdr:colOff>
      <xdr:row>17</xdr:row>
      <xdr:rowOff>47625</xdr:rowOff>
    </xdr:from>
    <xdr:to>
      <xdr:col>3</xdr:col>
      <xdr:colOff>1524000</xdr:colOff>
      <xdr:row>17</xdr:row>
      <xdr:rowOff>3476625</xdr:rowOff>
    </xdr:to>
    <xdr:pic>
      <xdr:nvPicPr>
        <xdr:cNvPr id="4" name="Imagem 3" descr="Micro servo">
          <a:extLst>
            <a:ext uri="{FF2B5EF4-FFF2-40B4-BE49-F238E27FC236}">
              <a16:creationId xmlns:a16="http://schemas.microsoft.com/office/drawing/2014/main" id="{9B7531BD-196F-430F-940C-F6C46142F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8324850"/>
          <a:ext cx="4408714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71207</xdr:colOff>
      <xdr:row>19</xdr:row>
      <xdr:rowOff>209550</xdr:rowOff>
    </xdr:from>
    <xdr:to>
      <xdr:col>3</xdr:col>
      <xdr:colOff>1619250</xdr:colOff>
      <xdr:row>19</xdr:row>
      <xdr:rowOff>4679600</xdr:rowOff>
    </xdr:to>
    <xdr:pic>
      <xdr:nvPicPr>
        <xdr:cNvPr id="5" name="Imagem 4" descr="Micro servo">
          <a:extLst>
            <a:ext uri="{FF2B5EF4-FFF2-40B4-BE49-F238E27FC236}">
              <a16:creationId xmlns:a16="http://schemas.microsoft.com/office/drawing/2014/main" id="{8D07969E-7631-4CEA-B2C3-2FADD79C9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07" y="12477750"/>
          <a:ext cx="4500793" cy="447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1628775</xdr:colOff>
      <xdr:row>19</xdr:row>
      <xdr:rowOff>209329</xdr:rowOff>
    </xdr:from>
    <xdr:to>
      <xdr:col>9</xdr:col>
      <xdr:colOff>714375</xdr:colOff>
      <xdr:row>19</xdr:row>
      <xdr:rowOff>4672286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0D18D2E-524E-4491-9E0D-F5E6DF06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81525" y="12477529"/>
          <a:ext cx="6724650" cy="4462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38100</xdr:rowOff>
    </xdr:from>
    <xdr:to>
      <xdr:col>8</xdr:col>
      <xdr:colOff>409575</xdr:colOff>
      <xdr:row>41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392655-1338-42BA-5A6B-D4EFDBAB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"/>
          <a:ext cx="5895975" cy="591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304800</xdr:rowOff>
    </xdr:to>
    <xdr:sp macro="" textlink="">
      <xdr:nvSpPr>
        <xdr:cNvPr id="5121" name="AutoShape 1" descr="Cruzament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EE0EF19-2E0C-B8EB-9D1A-9D8A5024E830}"/>
            </a:ext>
          </a:extLst>
        </xdr:cNvPr>
        <xdr:cNvSpPr>
          <a:spLocks noChangeAspect="1" noChangeArrowheads="1"/>
        </xdr:cNvSpPr>
      </xdr:nvSpPr>
      <xdr:spPr bwMode="auto">
        <a:xfrm>
          <a:off x="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5572125</xdr:colOff>
      <xdr:row>36</xdr:row>
      <xdr:rowOff>114300</xdr:rowOff>
    </xdr:to>
    <xdr:pic>
      <xdr:nvPicPr>
        <xdr:cNvPr id="2" name="Imagem 1" descr="desafio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B92019E2-5996-9ED2-C32A-B7163CE2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49175"/>
          <a:ext cx="5572125" cy="540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304800" cy="304800"/>
    <xdr:sp macro="" textlink="">
      <xdr:nvSpPr>
        <xdr:cNvPr id="3" name="AutoShape 1" descr="Cruzament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9B566D7-A09E-4429-AB71-34DC49A2865B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123" name="AutoShape 3" descr="Cruzamento">
          <a:extLst>
            <a:ext uri="{FF2B5EF4-FFF2-40B4-BE49-F238E27FC236}">
              <a16:creationId xmlns:a16="http://schemas.microsoft.com/office/drawing/2014/main" id="{40536D51-8271-5695-E3D6-7AF289F2322A}"/>
            </a:ext>
          </a:extLst>
        </xdr:cNvPr>
        <xdr:cNvSpPr>
          <a:spLocks noChangeAspect="1" noChangeArrowheads="1"/>
        </xdr:cNvSpPr>
      </xdr:nvSpPr>
      <xdr:spPr bwMode="auto">
        <a:xfrm>
          <a:off x="6867525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124" name="AutoShape 4" descr="Cruzamento">
          <a:extLst>
            <a:ext uri="{FF2B5EF4-FFF2-40B4-BE49-F238E27FC236}">
              <a16:creationId xmlns:a16="http://schemas.microsoft.com/office/drawing/2014/main" id="{AF276DB6-B171-99F5-90B8-5C327E0AC8FF}"/>
            </a:ext>
          </a:extLst>
        </xdr:cNvPr>
        <xdr:cNvSpPr>
          <a:spLocks noChangeAspect="1" noChangeArrowheads="1"/>
        </xdr:cNvSpPr>
      </xdr:nvSpPr>
      <xdr:spPr bwMode="auto">
        <a:xfrm>
          <a:off x="6867525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3</xdr:row>
      <xdr:rowOff>9525</xdr:rowOff>
    </xdr:from>
    <xdr:to>
      <xdr:col>0</xdr:col>
      <xdr:colOff>4563096</xdr:colOff>
      <xdr:row>3</xdr:row>
      <xdr:rowOff>3524741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115F3A-9EB8-9CE5-7C06-E511532B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" y="1076325"/>
          <a:ext cx="4448796" cy="35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90"/>
  <sheetViews>
    <sheetView tabSelected="1" zoomScaleNormal="100" workbookViewId="0">
      <selection activeCell="A2" sqref="A2:B3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7.75" customHeight="1" x14ac:dyDescent="0.3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</row>
    <row r="2" spans="1:27" ht="15" customHeight="1" x14ac:dyDescent="0.25">
      <c r="A2" s="102" t="s">
        <v>2</v>
      </c>
      <c r="B2" s="103"/>
      <c r="C2" s="94" t="s">
        <v>39</v>
      </c>
      <c r="D2" s="95"/>
      <c r="E2" s="99" t="s">
        <v>42</v>
      </c>
      <c r="F2" s="100"/>
      <c r="G2" s="93" t="s">
        <v>24</v>
      </c>
      <c r="H2" s="93"/>
      <c r="I2" s="93" t="s">
        <v>25</v>
      </c>
      <c r="J2" s="93"/>
    </row>
    <row r="3" spans="1:27" ht="15" customHeight="1" x14ac:dyDescent="0.25">
      <c r="A3" s="102"/>
      <c r="B3" s="103"/>
      <c r="C3" s="96"/>
      <c r="D3" s="97"/>
      <c r="E3" s="101" t="s">
        <v>56</v>
      </c>
      <c r="F3" s="101"/>
      <c r="G3" s="104" t="s">
        <v>43</v>
      </c>
      <c r="H3" s="104"/>
      <c r="I3" s="98"/>
      <c r="J3" s="98"/>
    </row>
    <row r="4" spans="1:27" ht="15" customHeight="1" x14ac:dyDescent="0.25">
      <c r="A4" s="107" t="s">
        <v>3</v>
      </c>
      <c r="B4" s="108"/>
      <c r="C4" s="98" t="s">
        <v>55</v>
      </c>
      <c r="D4" s="98"/>
      <c r="E4" s="115" t="s">
        <v>132</v>
      </c>
      <c r="F4" s="116"/>
      <c r="G4" s="104" t="s">
        <v>26</v>
      </c>
      <c r="H4" s="104"/>
      <c r="I4" s="104"/>
      <c r="J4" s="104"/>
    </row>
    <row r="5" spans="1:27" ht="15" customHeight="1" x14ac:dyDescent="0.25">
      <c r="A5" s="108"/>
      <c r="B5" s="109"/>
      <c r="C5" s="98"/>
      <c r="D5" s="98"/>
      <c r="E5" s="117" t="s">
        <v>37</v>
      </c>
      <c r="F5" s="118"/>
      <c r="G5" s="98"/>
      <c r="H5" s="98"/>
      <c r="I5" s="98"/>
      <c r="J5" s="98"/>
    </row>
    <row r="6" spans="1:27" ht="15" customHeight="1" x14ac:dyDescent="0.2">
      <c r="A6" s="107" t="s">
        <v>23</v>
      </c>
      <c r="B6" s="108"/>
      <c r="C6" s="110" t="s">
        <v>54</v>
      </c>
      <c r="D6" s="110"/>
      <c r="E6" s="119" t="s">
        <v>133</v>
      </c>
      <c r="F6" s="120"/>
      <c r="G6" s="98"/>
      <c r="H6" s="98"/>
      <c r="I6" s="98"/>
      <c r="J6" s="98"/>
    </row>
    <row r="7" spans="1:27" ht="46.5" customHeight="1" x14ac:dyDescent="0.2">
      <c r="A7" s="108"/>
      <c r="B7" s="109"/>
      <c r="C7" s="110"/>
      <c r="D7" s="110"/>
      <c r="E7" s="121"/>
      <c r="F7" s="120"/>
      <c r="G7" s="98"/>
      <c r="H7" s="98"/>
      <c r="I7" s="98"/>
      <c r="J7" s="98"/>
    </row>
    <row r="8" spans="1:27" ht="26.25" customHeight="1" x14ac:dyDescent="0.25">
      <c r="A8" s="111" t="s">
        <v>32</v>
      </c>
      <c r="B8" s="111"/>
      <c r="C8" s="111"/>
      <c r="D8" s="111"/>
      <c r="E8" s="111"/>
      <c r="F8" s="111"/>
      <c r="G8" s="111"/>
      <c r="H8" s="111"/>
      <c r="I8" s="111"/>
      <c r="J8" s="111"/>
    </row>
    <row r="9" spans="1:27" ht="49.5" customHeight="1" x14ac:dyDescent="0.2">
      <c r="A9" s="25" t="s">
        <v>1</v>
      </c>
      <c r="B9" s="26" t="s">
        <v>5</v>
      </c>
      <c r="C9" s="26" t="s">
        <v>22</v>
      </c>
      <c r="D9" s="26" t="s">
        <v>4</v>
      </c>
      <c r="E9" s="26" t="s">
        <v>6</v>
      </c>
      <c r="F9" s="26" t="s">
        <v>7</v>
      </c>
      <c r="G9" s="112" t="s">
        <v>8</v>
      </c>
      <c r="H9" s="112"/>
      <c r="I9" s="112" t="s">
        <v>9</v>
      </c>
      <c r="J9" s="1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3" x14ac:dyDescent="0.2">
      <c r="A10" s="27" t="s">
        <v>44</v>
      </c>
      <c r="B10" s="23">
        <v>15</v>
      </c>
      <c r="C10" s="29" t="s">
        <v>57</v>
      </c>
      <c r="D10" s="30" t="s">
        <v>60</v>
      </c>
      <c r="E10" s="31" t="s">
        <v>67</v>
      </c>
      <c r="F10" s="24" t="s">
        <v>40</v>
      </c>
      <c r="G10" s="113" t="s">
        <v>63</v>
      </c>
      <c r="H10" s="114"/>
      <c r="I10" s="113" t="s">
        <v>69</v>
      </c>
      <c r="J10" s="1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0.25" x14ac:dyDescent="0.2">
      <c r="A11" s="28" t="s">
        <v>45</v>
      </c>
      <c r="B11" s="2">
        <v>20</v>
      </c>
      <c r="C11" s="32" t="s">
        <v>58</v>
      </c>
      <c r="D11" s="33" t="s">
        <v>61</v>
      </c>
      <c r="E11" s="31" t="s">
        <v>65</v>
      </c>
      <c r="F11" s="24" t="s">
        <v>40</v>
      </c>
      <c r="G11" s="113" t="s">
        <v>64</v>
      </c>
      <c r="H11" s="114"/>
      <c r="I11" s="105" t="s">
        <v>70</v>
      </c>
      <c r="J11" s="10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6.75" customHeight="1" x14ac:dyDescent="0.2">
      <c r="A12" s="28" t="s">
        <v>134</v>
      </c>
      <c r="B12" s="2">
        <v>35</v>
      </c>
      <c r="C12" s="32" t="s">
        <v>59</v>
      </c>
      <c r="D12" s="33" t="s">
        <v>62</v>
      </c>
      <c r="E12" s="31" t="s">
        <v>66</v>
      </c>
      <c r="F12" s="24" t="s">
        <v>40</v>
      </c>
      <c r="G12" s="105" t="s">
        <v>68</v>
      </c>
      <c r="H12" s="141"/>
      <c r="I12" s="142" t="s">
        <v>71</v>
      </c>
      <c r="J12" s="14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20" t="s">
        <v>35</v>
      </c>
      <c r="B13" s="34">
        <f>SUM(B7:B12)</f>
        <v>70</v>
      </c>
      <c r="C13" s="14"/>
      <c r="D13" s="14"/>
      <c r="E13" s="14"/>
      <c r="F13" s="15"/>
      <c r="G13" s="144"/>
      <c r="H13" s="145"/>
      <c r="I13" s="146"/>
      <c r="J13" s="14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" customHeight="1" x14ac:dyDescent="0.2">
      <c r="A14" s="148" t="s">
        <v>46</v>
      </c>
      <c r="B14" s="149"/>
      <c r="C14" s="149"/>
      <c r="D14" s="149"/>
      <c r="E14" s="149"/>
      <c r="F14" s="149"/>
      <c r="G14" s="149"/>
      <c r="H14" s="149"/>
      <c r="I14" s="149"/>
      <c r="J14" s="15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2">
      <c r="A15" s="140" t="s">
        <v>28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3.75" customHeight="1" x14ac:dyDescent="0.2">
      <c r="A16" s="122" t="s">
        <v>77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2">
      <c r="A17" s="140" t="s">
        <v>29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5" customHeight="1" x14ac:dyDescent="0.2">
      <c r="A18" s="122" t="s">
        <v>78</v>
      </c>
      <c r="B18" s="122"/>
      <c r="C18" s="122"/>
      <c r="D18" s="122"/>
      <c r="E18" s="122"/>
      <c r="F18" s="122"/>
      <c r="G18" s="122"/>
      <c r="H18" s="122"/>
      <c r="I18" s="122"/>
      <c r="J18" s="122"/>
      <c r="L18" s="1"/>
      <c r="M18" s="1"/>
      <c r="O18" s="1"/>
      <c r="P18" s="1"/>
      <c r="Q18" s="1"/>
      <c r="R18" s="1"/>
      <c r="T18" s="1"/>
      <c r="U18" s="1"/>
      <c r="V18" s="1"/>
      <c r="W18" s="1"/>
      <c r="X18" s="1"/>
      <c r="Z18" s="1"/>
      <c r="AA18" s="1"/>
    </row>
    <row r="19" spans="1:27" ht="246.75" customHeight="1" x14ac:dyDescent="0.2">
      <c r="A19" s="123"/>
      <c r="B19" s="124"/>
      <c r="C19" s="124"/>
      <c r="D19" s="124"/>
      <c r="E19" s="124"/>
      <c r="F19" s="124"/>
      <c r="G19" s="124"/>
      <c r="H19" s="124"/>
      <c r="I19" s="124"/>
      <c r="J19" s="125"/>
      <c r="L19" s="1"/>
      <c r="M19" s="1"/>
      <c r="O19" s="1"/>
      <c r="P19" s="1"/>
      <c r="Q19" s="1"/>
      <c r="R19" s="1"/>
      <c r="T19" s="1"/>
      <c r="U19" s="1"/>
      <c r="V19" s="1"/>
      <c r="W19" s="1"/>
      <c r="X19" s="1"/>
      <c r="Z19" s="1"/>
      <c r="AA19" s="1"/>
    </row>
    <row r="20" spans="1:27" ht="98.25" customHeight="1" x14ac:dyDescent="0.2">
      <c r="A20" s="122" t="s">
        <v>79</v>
      </c>
      <c r="B20" s="122"/>
      <c r="C20" s="122"/>
      <c r="D20" s="122"/>
      <c r="E20" s="122"/>
      <c r="F20" s="122"/>
      <c r="G20" s="122"/>
      <c r="H20" s="122"/>
      <c r="I20" s="122"/>
      <c r="J20" s="122"/>
      <c r="L20" s="1"/>
      <c r="M20" s="1"/>
      <c r="O20" s="1"/>
      <c r="P20" s="1"/>
      <c r="Q20" s="1"/>
      <c r="R20" s="1"/>
      <c r="T20" s="1"/>
      <c r="U20" s="1"/>
      <c r="V20" s="1"/>
      <c r="W20" s="1"/>
      <c r="X20" s="1"/>
      <c r="Z20" s="1"/>
      <c r="AA20" s="1"/>
    </row>
    <row r="21" spans="1:27" ht="18" x14ac:dyDescent="0.2">
      <c r="A21" s="140" t="s">
        <v>30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7.5" customHeight="1" x14ac:dyDescent="0.2">
      <c r="A22" s="122" t="s">
        <v>80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2.5" customHeight="1" x14ac:dyDescent="0.2">
      <c r="A23" s="71" t="s">
        <v>31</v>
      </c>
      <c r="B23" s="71"/>
      <c r="C23" s="71"/>
      <c r="D23" s="71"/>
      <c r="E23" s="71"/>
      <c r="F23" s="71"/>
      <c r="G23" s="71"/>
      <c r="H23" s="71"/>
      <c r="I23" s="71"/>
      <c r="J23" s="7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 x14ac:dyDescent="0.25">
      <c r="A24" s="72" t="s">
        <v>33</v>
      </c>
      <c r="B24" s="73"/>
      <c r="C24" s="73"/>
      <c r="D24" s="74" t="s">
        <v>10</v>
      </c>
      <c r="E24" s="74"/>
      <c r="F24" s="74"/>
      <c r="G24" s="57" t="s">
        <v>34</v>
      </c>
      <c r="H24" s="75"/>
      <c r="I24" s="75"/>
      <c r="J24" s="7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9.75" customHeight="1" x14ac:dyDescent="0.2">
      <c r="A25" s="73"/>
      <c r="B25" s="73"/>
      <c r="C25" s="73"/>
      <c r="D25" s="74"/>
      <c r="E25" s="74"/>
      <c r="F25" s="74"/>
      <c r="G25" s="21">
        <v>1</v>
      </c>
      <c r="H25" s="21">
        <v>2</v>
      </c>
      <c r="I25" s="22">
        <v>3</v>
      </c>
      <c r="J25" s="22">
        <v>4</v>
      </c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2">
      <c r="A26" s="83" t="s">
        <v>11</v>
      </c>
      <c r="B26" s="79" t="s">
        <v>57</v>
      </c>
      <c r="C26" s="80"/>
      <c r="D26" s="76" t="s">
        <v>85</v>
      </c>
      <c r="E26" s="77"/>
      <c r="F26" s="78"/>
      <c r="G26" s="7"/>
      <c r="H26" s="18"/>
      <c r="I26" s="19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2">
      <c r="A27" s="84"/>
      <c r="B27" s="81"/>
      <c r="C27" s="82"/>
      <c r="D27" s="86" t="s">
        <v>86</v>
      </c>
      <c r="E27" s="87"/>
      <c r="F27" s="88"/>
      <c r="G27" s="7"/>
      <c r="H27" s="18"/>
      <c r="I27" s="19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2">
      <c r="A28" s="84"/>
      <c r="B28" s="79" t="s">
        <v>58</v>
      </c>
      <c r="C28" s="80"/>
      <c r="D28" s="89" t="s">
        <v>87</v>
      </c>
      <c r="E28" s="90"/>
      <c r="F28" s="91"/>
      <c r="G28" s="7"/>
      <c r="H28" s="18"/>
      <c r="I28" s="19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2">
      <c r="A29" s="84"/>
      <c r="B29" s="81"/>
      <c r="C29" s="82"/>
      <c r="D29" s="86" t="s">
        <v>88</v>
      </c>
      <c r="E29" s="87"/>
      <c r="F29" s="88"/>
      <c r="G29" s="7"/>
      <c r="H29" s="18"/>
      <c r="I29" s="19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6.5" customHeight="1" x14ac:dyDescent="0.2">
      <c r="A30" s="84"/>
      <c r="B30" s="79" t="s">
        <v>59</v>
      </c>
      <c r="C30" s="80"/>
      <c r="D30" s="76" t="s">
        <v>89</v>
      </c>
      <c r="E30" s="77"/>
      <c r="F30" s="78"/>
      <c r="G30" s="7"/>
      <c r="H30" s="18"/>
      <c r="I30" s="14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6.5" customHeight="1" x14ac:dyDescent="0.2">
      <c r="A31" s="85"/>
      <c r="B31" s="81"/>
      <c r="C31" s="82"/>
      <c r="D31" s="86" t="s">
        <v>90</v>
      </c>
      <c r="E31" s="87"/>
      <c r="F31" s="88"/>
      <c r="G31" s="7"/>
      <c r="H31" s="18"/>
      <c r="I31" s="14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2.75" customHeight="1" x14ac:dyDescent="0.2">
      <c r="A32" s="135" t="s">
        <v>27</v>
      </c>
      <c r="B32" s="132" t="s">
        <v>81</v>
      </c>
      <c r="C32" s="133"/>
      <c r="D32" s="76" t="s">
        <v>91</v>
      </c>
      <c r="E32" s="138"/>
      <c r="F32" s="139"/>
      <c r="G32" s="7"/>
      <c r="H32" s="18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2.75" customHeight="1" x14ac:dyDescent="0.2">
      <c r="A33" s="136"/>
      <c r="B33" s="132" t="s">
        <v>41</v>
      </c>
      <c r="C33" s="133"/>
      <c r="D33" s="134" t="s">
        <v>92</v>
      </c>
      <c r="E33" s="77"/>
      <c r="F33" s="78"/>
      <c r="G33" s="7"/>
      <c r="H33" s="18"/>
      <c r="I33" s="14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2.75" customHeight="1" x14ac:dyDescent="0.2">
      <c r="A34" s="136"/>
      <c r="B34" s="132" t="s">
        <v>38</v>
      </c>
      <c r="C34" s="133"/>
      <c r="D34" s="134" t="s">
        <v>93</v>
      </c>
      <c r="E34" s="77"/>
      <c r="F34" s="78"/>
      <c r="G34" s="7"/>
      <c r="H34" s="18"/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2.75" customHeight="1" x14ac:dyDescent="0.2">
      <c r="A35" s="137"/>
      <c r="B35" s="132" t="s">
        <v>53</v>
      </c>
      <c r="C35" s="133"/>
      <c r="D35" s="134" t="s">
        <v>94</v>
      </c>
      <c r="E35" s="77"/>
      <c r="F35" s="78"/>
      <c r="G35" s="7"/>
      <c r="H35" s="18"/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130"/>
      <c r="B36" s="131"/>
      <c r="C36" s="131"/>
      <c r="D36" s="131"/>
      <c r="E36" s="131"/>
      <c r="F36" s="131"/>
      <c r="G36" s="131"/>
      <c r="H36" s="13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26" t="s">
        <v>12</v>
      </c>
      <c r="B37" s="127"/>
      <c r="C37" s="127"/>
      <c r="D37" s="127"/>
      <c r="E37" s="128"/>
      <c r="F37" s="129" t="s">
        <v>13</v>
      </c>
      <c r="G37" s="127"/>
      <c r="H37" s="1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8">
        <v>8</v>
      </c>
      <c r="B38" s="67" t="s">
        <v>14</v>
      </c>
      <c r="C38" s="63"/>
      <c r="D38" s="63"/>
      <c r="E38" s="64"/>
      <c r="F38" s="65">
        <v>100</v>
      </c>
      <c r="G38" s="63"/>
      <c r="H38" s="6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8">
        <v>7</v>
      </c>
      <c r="B39" s="68" t="s">
        <v>95</v>
      </c>
      <c r="C39" s="69"/>
      <c r="D39" s="69"/>
      <c r="E39" s="70"/>
      <c r="F39" s="65">
        <v>95</v>
      </c>
      <c r="G39" s="63"/>
      <c r="H39" s="6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8">
        <v>6</v>
      </c>
      <c r="B40" s="68" t="s">
        <v>52</v>
      </c>
      <c r="C40" s="69"/>
      <c r="D40" s="69"/>
      <c r="E40" s="70"/>
      <c r="F40" s="65">
        <v>90</v>
      </c>
      <c r="G40" s="63"/>
      <c r="H40" s="6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8">
        <v>5</v>
      </c>
      <c r="B41" s="62" t="s">
        <v>49</v>
      </c>
      <c r="C41" s="63"/>
      <c r="D41" s="63"/>
      <c r="E41" s="64"/>
      <c r="F41" s="65">
        <v>80</v>
      </c>
      <c r="G41" s="63"/>
      <c r="H41" s="6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8">
        <v>4</v>
      </c>
      <c r="B42" s="62" t="s">
        <v>50</v>
      </c>
      <c r="C42" s="63"/>
      <c r="D42" s="63"/>
      <c r="E42" s="64"/>
      <c r="F42" s="65">
        <v>70</v>
      </c>
      <c r="G42" s="63"/>
      <c r="H42" s="6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8">
        <v>3</v>
      </c>
      <c r="B43" s="62" t="s">
        <v>51</v>
      </c>
      <c r="C43" s="63"/>
      <c r="D43" s="63"/>
      <c r="E43" s="64"/>
      <c r="F43" s="65">
        <v>60</v>
      </c>
      <c r="G43" s="63"/>
      <c r="H43" s="6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8">
        <v>2</v>
      </c>
      <c r="B44" s="66" t="s">
        <v>15</v>
      </c>
      <c r="C44" s="63"/>
      <c r="D44" s="63"/>
      <c r="E44" s="64"/>
      <c r="F44" s="65">
        <v>50</v>
      </c>
      <c r="G44" s="63"/>
      <c r="H44" s="6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8">
        <v>1</v>
      </c>
      <c r="B45" s="67" t="s">
        <v>16</v>
      </c>
      <c r="C45" s="63"/>
      <c r="D45" s="63"/>
      <c r="E45" s="64"/>
      <c r="F45" s="65">
        <v>30</v>
      </c>
      <c r="G45" s="63"/>
      <c r="H45" s="6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">
      <c r="A46" s="9"/>
      <c r="B46" s="9"/>
      <c r="C46" s="9"/>
      <c r="D46" s="10"/>
      <c r="E46" s="10"/>
      <c r="F46" s="11"/>
      <c r="G46" s="12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2"/>
      <c r="B47" s="12"/>
      <c r="C47" s="13"/>
      <c r="D47" s="16" t="s">
        <v>17</v>
      </c>
      <c r="E47" s="16" t="s">
        <v>18</v>
      </c>
      <c r="F47" s="16" t="s">
        <v>19</v>
      </c>
      <c r="G47" s="12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2"/>
      <c r="B48" s="12"/>
      <c r="C48" s="12"/>
      <c r="D48" s="17" t="s">
        <v>20</v>
      </c>
      <c r="E48" s="55">
        <v>1</v>
      </c>
      <c r="F48" s="55">
        <v>0</v>
      </c>
      <c r="G48" s="57" t="s">
        <v>47</v>
      </c>
      <c r="H48" s="59" t="s">
        <v>48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2"/>
      <c r="B49" s="12"/>
      <c r="C49" s="12"/>
      <c r="D49" s="38" t="s">
        <v>21</v>
      </c>
      <c r="E49" s="56"/>
      <c r="F49" s="56"/>
      <c r="G49" s="58"/>
      <c r="H49" s="6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5.5" customHeight="1" x14ac:dyDescent="0.2">
      <c r="A50" s="61" t="s">
        <v>36</v>
      </c>
      <c r="B50" s="61"/>
      <c r="C50" s="61"/>
      <c r="D50" s="61"/>
      <c r="E50" s="61"/>
      <c r="F50" s="61"/>
      <c r="G50" s="61"/>
      <c r="H50" s="61"/>
      <c r="I50" s="61"/>
      <c r="J50" s="6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1"/>
      <c r="C51" s="1"/>
      <c r="D51" s="1"/>
      <c r="E51" s="1"/>
      <c r="F51" s="4"/>
      <c r="G51" s="5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1"/>
      <c r="C52" s="1"/>
      <c r="D52" s="1"/>
      <c r="E52" s="1"/>
      <c r="F52" s="4"/>
      <c r="G52" s="5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</sheetData>
  <mergeCells count="85">
    <mergeCell ref="A18:J18"/>
    <mergeCell ref="A14:J14"/>
    <mergeCell ref="A15:J15"/>
    <mergeCell ref="A17:J17"/>
    <mergeCell ref="A16:J16"/>
    <mergeCell ref="G12:H12"/>
    <mergeCell ref="I12:J12"/>
    <mergeCell ref="G13:H13"/>
    <mergeCell ref="I13:J13"/>
    <mergeCell ref="D35:F35"/>
    <mergeCell ref="B38:E38"/>
    <mergeCell ref="F38:H38"/>
    <mergeCell ref="B39:E39"/>
    <mergeCell ref="A21:J21"/>
    <mergeCell ref="E6:F7"/>
    <mergeCell ref="A22:J22"/>
    <mergeCell ref="A19:J19"/>
    <mergeCell ref="A20:J20"/>
    <mergeCell ref="F40:H40"/>
    <mergeCell ref="A37:E37"/>
    <mergeCell ref="F37:H37"/>
    <mergeCell ref="A36:H36"/>
    <mergeCell ref="B34:C34"/>
    <mergeCell ref="D34:F34"/>
    <mergeCell ref="A32:A35"/>
    <mergeCell ref="B32:C32"/>
    <mergeCell ref="D32:F32"/>
    <mergeCell ref="B33:C33"/>
    <mergeCell ref="D33:F33"/>
    <mergeCell ref="B35:C35"/>
    <mergeCell ref="G4:J4"/>
    <mergeCell ref="G5:J7"/>
    <mergeCell ref="I2:J2"/>
    <mergeCell ref="I11:J11"/>
    <mergeCell ref="A6:B7"/>
    <mergeCell ref="C4:D5"/>
    <mergeCell ref="C6:D7"/>
    <mergeCell ref="A4:B5"/>
    <mergeCell ref="A8:J8"/>
    <mergeCell ref="I9:J9"/>
    <mergeCell ref="I10:J10"/>
    <mergeCell ref="G9:H9"/>
    <mergeCell ref="G10:H10"/>
    <mergeCell ref="G11:H11"/>
    <mergeCell ref="E4:F4"/>
    <mergeCell ref="E5:F5"/>
    <mergeCell ref="A1:J1"/>
    <mergeCell ref="G2:H2"/>
    <mergeCell ref="C2:D3"/>
    <mergeCell ref="I3:J3"/>
    <mergeCell ref="E2:F2"/>
    <mergeCell ref="E3:F3"/>
    <mergeCell ref="A2:B3"/>
    <mergeCell ref="G3:H3"/>
    <mergeCell ref="B30:C31"/>
    <mergeCell ref="B28:C29"/>
    <mergeCell ref="B26:C27"/>
    <mergeCell ref="A26:A31"/>
    <mergeCell ref="D27:F27"/>
    <mergeCell ref="D29:F29"/>
    <mergeCell ref="D31:F31"/>
    <mergeCell ref="D28:F28"/>
    <mergeCell ref="D30:F30"/>
    <mergeCell ref="A23:J23"/>
    <mergeCell ref="A24:C25"/>
    <mergeCell ref="D24:F25"/>
    <mergeCell ref="G24:J24"/>
    <mergeCell ref="D26:F26"/>
    <mergeCell ref="F39:H39"/>
    <mergeCell ref="B40:E40"/>
    <mergeCell ref="B41:E41"/>
    <mergeCell ref="F41:H41"/>
    <mergeCell ref="B42:E42"/>
    <mergeCell ref="F42:H42"/>
    <mergeCell ref="B43:E43"/>
    <mergeCell ref="F43:H43"/>
    <mergeCell ref="B44:E44"/>
    <mergeCell ref="F44:H44"/>
    <mergeCell ref="B45:E45"/>
    <mergeCell ref="F45:H45"/>
    <mergeCell ref="E48:E49"/>
    <mergeCell ref="F48:F49"/>
    <mergeCell ref="G48:G49"/>
    <mergeCell ref="H48:H49"/>
    <mergeCell ref="A50:J50"/>
  </mergeCells>
  <phoneticPr fontId="33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9FA9-0AF4-406E-8B83-BFB1363D6C9B}">
  <sheetPr>
    <pageSetUpPr fitToPage="1"/>
  </sheetPr>
  <dimension ref="A1:AA952"/>
  <sheetViews>
    <sheetView topLeftCell="A12" zoomScaleNormal="100" workbookViewId="0">
      <selection activeCell="G5" sqref="G5:J7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7.75" customHeight="1" x14ac:dyDescent="0.3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</row>
    <row r="2" spans="1:27" ht="15" customHeight="1" x14ac:dyDescent="0.25">
      <c r="A2" s="102" t="s">
        <v>2</v>
      </c>
      <c r="B2" s="103"/>
      <c r="C2" s="94" t="s">
        <v>39</v>
      </c>
      <c r="D2" s="95"/>
      <c r="E2" s="99" t="s">
        <v>42</v>
      </c>
      <c r="F2" s="100"/>
      <c r="G2" s="93" t="s">
        <v>24</v>
      </c>
      <c r="H2" s="93"/>
      <c r="I2" s="93" t="s">
        <v>25</v>
      </c>
      <c r="J2" s="93"/>
    </row>
    <row r="3" spans="1:27" ht="15" customHeight="1" x14ac:dyDescent="0.25">
      <c r="A3" s="102"/>
      <c r="B3" s="103"/>
      <c r="C3" s="96"/>
      <c r="D3" s="97"/>
      <c r="E3" s="101" t="s">
        <v>56</v>
      </c>
      <c r="F3" s="101"/>
      <c r="G3" s="104" t="s">
        <v>43</v>
      </c>
      <c r="H3" s="104"/>
      <c r="I3" s="98"/>
      <c r="J3" s="98"/>
    </row>
    <row r="4" spans="1:27" ht="15" customHeight="1" x14ac:dyDescent="0.25">
      <c r="A4" s="107" t="s">
        <v>3</v>
      </c>
      <c r="B4" s="108"/>
      <c r="C4" s="98" t="s">
        <v>55</v>
      </c>
      <c r="D4" s="98"/>
      <c r="E4" s="115" t="s">
        <v>130</v>
      </c>
      <c r="F4" s="116"/>
      <c r="G4" s="104" t="s">
        <v>26</v>
      </c>
      <c r="H4" s="104"/>
      <c r="I4" s="104"/>
      <c r="J4" s="104"/>
    </row>
    <row r="5" spans="1:27" ht="15" customHeight="1" x14ac:dyDescent="0.25">
      <c r="A5" s="108"/>
      <c r="B5" s="109"/>
      <c r="C5" s="98"/>
      <c r="D5" s="98"/>
      <c r="E5" s="117" t="s">
        <v>37</v>
      </c>
      <c r="F5" s="118"/>
      <c r="G5" s="98"/>
      <c r="H5" s="98"/>
      <c r="I5" s="98"/>
      <c r="J5" s="98"/>
    </row>
    <row r="6" spans="1:27" ht="15" customHeight="1" x14ac:dyDescent="0.2">
      <c r="A6" s="107" t="s">
        <v>23</v>
      </c>
      <c r="B6" s="108"/>
      <c r="C6" s="110" t="s">
        <v>54</v>
      </c>
      <c r="D6" s="110"/>
      <c r="E6" s="119" t="s">
        <v>131</v>
      </c>
      <c r="F6" s="120"/>
      <c r="G6" s="98"/>
      <c r="H6" s="98"/>
      <c r="I6" s="98"/>
      <c r="J6" s="98"/>
    </row>
    <row r="7" spans="1:27" ht="46.5" customHeight="1" x14ac:dyDescent="0.2">
      <c r="A7" s="108"/>
      <c r="B7" s="109"/>
      <c r="C7" s="110"/>
      <c r="D7" s="110"/>
      <c r="E7" s="121"/>
      <c r="F7" s="120"/>
      <c r="G7" s="98"/>
      <c r="H7" s="98"/>
      <c r="I7" s="98"/>
      <c r="J7" s="98"/>
    </row>
    <row r="8" spans="1:27" ht="26.25" customHeight="1" x14ac:dyDescent="0.25">
      <c r="A8" s="111" t="s">
        <v>32</v>
      </c>
      <c r="B8" s="111"/>
      <c r="C8" s="111"/>
      <c r="D8" s="111"/>
      <c r="E8" s="111"/>
      <c r="F8" s="111"/>
      <c r="G8" s="111"/>
      <c r="H8" s="111"/>
      <c r="I8" s="111"/>
      <c r="J8" s="111"/>
    </row>
    <row r="9" spans="1:27" ht="49.5" customHeight="1" x14ac:dyDescent="0.2">
      <c r="A9" s="25" t="s">
        <v>1</v>
      </c>
      <c r="B9" s="36" t="s">
        <v>5</v>
      </c>
      <c r="C9" s="36" t="s">
        <v>22</v>
      </c>
      <c r="D9" s="36" t="s">
        <v>4</v>
      </c>
      <c r="E9" s="36" t="s">
        <v>6</v>
      </c>
      <c r="F9" s="36" t="s">
        <v>7</v>
      </c>
      <c r="G9" s="112" t="s">
        <v>8</v>
      </c>
      <c r="H9" s="112"/>
      <c r="I9" s="112" t="s">
        <v>9</v>
      </c>
      <c r="J9" s="1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6.5" customHeight="1" x14ac:dyDescent="0.2">
      <c r="A10" s="27" t="s">
        <v>129</v>
      </c>
      <c r="B10" s="37">
        <v>15</v>
      </c>
      <c r="C10" s="29" t="s">
        <v>96</v>
      </c>
      <c r="D10" s="30" t="s">
        <v>98</v>
      </c>
      <c r="E10" s="31" t="s">
        <v>100</v>
      </c>
      <c r="F10" s="24" t="s">
        <v>40</v>
      </c>
      <c r="G10" s="113" t="s">
        <v>104</v>
      </c>
      <c r="H10" s="114"/>
      <c r="I10" s="113" t="s">
        <v>102</v>
      </c>
      <c r="J10" s="1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17" customHeight="1" x14ac:dyDescent="0.2">
      <c r="A11" s="28" t="s">
        <v>128</v>
      </c>
      <c r="B11" s="35">
        <v>15</v>
      </c>
      <c r="C11" s="39" t="s">
        <v>97</v>
      </c>
      <c r="D11" s="33" t="s">
        <v>103</v>
      </c>
      <c r="E11" s="31" t="s">
        <v>99</v>
      </c>
      <c r="F11" s="24" t="s">
        <v>40</v>
      </c>
      <c r="G11" s="113" t="s">
        <v>105</v>
      </c>
      <c r="H11" s="114"/>
      <c r="I11" s="105" t="s">
        <v>101</v>
      </c>
      <c r="J11" s="10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20" t="s">
        <v>35</v>
      </c>
      <c r="B12" s="34">
        <f>SUM(B7:B11)</f>
        <v>30</v>
      </c>
      <c r="C12" s="14"/>
      <c r="D12" s="14"/>
      <c r="E12" s="14"/>
      <c r="F12" s="15"/>
      <c r="G12" s="144"/>
      <c r="H12" s="145"/>
      <c r="I12" s="146"/>
      <c r="J12" s="14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4" customHeight="1" x14ac:dyDescent="0.2">
      <c r="A13" s="148" t="s">
        <v>46</v>
      </c>
      <c r="B13" s="149"/>
      <c r="C13" s="149"/>
      <c r="D13" s="149"/>
      <c r="E13" s="149"/>
      <c r="F13" s="149"/>
      <c r="G13" s="149"/>
      <c r="H13" s="149"/>
      <c r="I13" s="149"/>
      <c r="J13" s="15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2">
      <c r="A14" s="140" t="s">
        <v>28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3.75" customHeight="1" x14ac:dyDescent="0.2">
      <c r="A15" s="122" t="s">
        <v>113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2">
      <c r="A16" s="140" t="s">
        <v>29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6.75" customHeight="1" x14ac:dyDescent="0.2">
      <c r="A17" s="122" t="s">
        <v>114</v>
      </c>
      <c r="B17" s="122"/>
      <c r="C17" s="122"/>
      <c r="D17" s="122"/>
      <c r="E17" s="122"/>
      <c r="F17" s="122"/>
      <c r="G17" s="122"/>
      <c r="H17" s="122"/>
      <c r="I17" s="122"/>
      <c r="J17" s="122"/>
      <c r="L17" s="1"/>
      <c r="M17" s="1"/>
      <c r="O17" s="1"/>
      <c r="P17" s="1"/>
      <c r="Q17" s="1"/>
      <c r="R17" s="1"/>
      <c r="T17" s="1"/>
      <c r="U17" s="1"/>
      <c r="V17" s="1"/>
      <c r="W17" s="1"/>
      <c r="X17" s="1"/>
      <c r="Z17" s="1"/>
      <c r="AA17" s="1"/>
    </row>
    <row r="18" spans="1:27" ht="277.5" customHeight="1" x14ac:dyDescent="0.2">
      <c r="A18" s="123"/>
      <c r="B18" s="124"/>
      <c r="C18" s="124"/>
      <c r="D18" s="124"/>
      <c r="E18" s="124"/>
      <c r="F18" s="124"/>
      <c r="G18" s="124"/>
      <c r="H18" s="124"/>
      <c r="I18" s="124"/>
      <c r="J18" s="125"/>
      <c r="L18" s="1"/>
      <c r="M18" s="1"/>
      <c r="O18" s="1"/>
      <c r="P18" s="1"/>
      <c r="Q18" s="1"/>
      <c r="R18" s="1"/>
      <c r="T18" s="1"/>
      <c r="U18" s="1"/>
      <c r="V18" s="1"/>
      <c r="W18" s="1"/>
      <c r="X18" s="1"/>
      <c r="Z18" s="1"/>
      <c r="AA18" s="1"/>
    </row>
    <row r="19" spans="1:27" ht="36.75" customHeight="1" x14ac:dyDescent="0.2">
      <c r="A19" s="122" t="s">
        <v>115</v>
      </c>
      <c r="B19" s="122"/>
      <c r="C19" s="122"/>
      <c r="D19" s="122"/>
      <c r="E19" s="122"/>
      <c r="F19" s="122"/>
      <c r="G19" s="122"/>
      <c r="H19" s="122"/>
      <c r="I19" s="122"/>
      <c r="J19" s="122"/>
      <c r="L19" s="1"/>
      <c r="M19" s="1"/>
      <c r="O19" s="1"/>
      <c r="P19" s="1"/>
      <c r="Q19" s="1"/>
      <c r="R19" s="1"/>
      <c r="T19" s="1"/>
      <c r="U19" s="1"/>
      <c r="V19" s="1"/>
      <c r="W19" s="1"/>
      <c r="X19" s="1"/>
      <c r="Z19" s="1"/>
      <c r="AA19" s="1"/>
    </row>
    <row r="20" spans="1:27" ht="400.5" customHeight="1" x14ac:dyDescent="0.2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L20" s="1"/>
      <c r="M20" s="1"/>
      <c r="O20" s="1"/>
      <c r="P20" s="1"/>
      <c r="Q20" s="1"/>
      <c r="R20" s="1"/>
      <c r="T20" s="1"/>
      <c r="U20" s="1"/>
      <c r="V20" s="1"/>
      <c r="W20" s="1"/>
      <c r="X20" s="1"/>
      <c r="Z20" s="1"/>
      <c r="AA20" s="1"/>
    </row>
    <row r="21" spans="1:27" ht="33" customHeight="1" x14ac:dyDescent="0.2">
      <c r="A21" s="122" t="s">
        <v>117</v>
      </c>
      <c r="B21" s="122"/>
      <c r="C21" s="122"/>
      <c r="D21" s="122"/>
      <c r="E21" s="122"/>
      <c r="F21" s="122"/>
      <c r="G21" s="122"/>
      <c r="H21" s="122"/>
      <c r="I21" s="122"/>
      <c r="J21" s="122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18" x14ac:dyDescent="0.2">
      <c r="A22" s="140" t="s">
        <v>30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93.75" customHeight="1" x14ac:dyDescent="0.2">
      <c r="A23" s="122" t="s">
        <v>116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 x14ac:dyDescent="0.2">
      <c r="A24" s="71" t="s">
        <v>31</v>
      </c>
      <c r="B24" s="71"/>
      <c r="C24" s="71"/>
      <c r="D24" s="71"/>
      <c r="E24" s="71"/>
      <c r="F24" s="71"/>
      <c r="G24" s="71"/>
      <c r="H24" s="71"/>
      <c r="I24" s="71"/>
      <c r="J24" s="7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5">
      <c r="A25" s="72" t="s">
        <v>33</v>
      </c>
      <c r="B25" s="73"/>
      <c r="C25" s="73"/>
      <c r="D25" s="74" t="s">
        <v>10</v>
      </c>
      <c r="E25" s="74"/>
      <c r="F25" s="74"/>
      <c r="G25" s="57" t="s">
        <v>34</v>
      </c>
      <c r="H25" s="75"/>
      <c r="I25" s="75"/>
      <c r="J25" s="7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9.75" customHeight="1" x14ac:dyDescent="0.2">
      <c r="A26" s="73"/>
      <c r="B26" s="73"/>
      <c r="C26" s="73"/>
      <c r="D26" s="74"/>
      <c r="E26" s="74"/>
      <c r="F26" s="74"/>
      <c r="G26" s="21">
        <v>1</v>
      </c>
      <c r="H26" s="21">
        <v>2</v>
      </c>
      <c r="I26" s="22">
        <v>3</v>
      </c>
      <c r="J26" s="22">
        <v>4</v>
      </c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2">
      <c r="A27" s="83" t="s">
        <v>11</v>
      </c>
      <c r="B27" s="79" t="s">
        <v>96</v>
      </c>
      <c r="C27" s="80"/>
      <c r="D27" s="76" t="s">
        <v>118</v>
      </c>
      <c r="E27" s="77"/>
      <c r="F27" s="78"/>
      <c r="G27" s="7"/>
      <c r="H27" s="18"/>
      <c r="I27" s="19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2">
      <c r="A28" s="84"/>
      <c r="B28" s="154"/>
      <c r="C28" s="155"/>
      <c r="D28" s="86" t="s">
        <v>121</v>
      </c>
      <c r="E28" s="87"/>
      <c r="F28" s="88"/>
      <c r="G28" s="7"/>
      <c r="H28" s="18"/>
      <c r="I28" s="19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2">
      <c r="A29" s="84"/>
      <c r="B29" s="81"/>
      <c r="C29" s="82"/>
      <c r="D29" s="86" t="s">
        <v>119</v>
      </c>
      <c r="E29" s="87"/>
      <c r="F29" s="88"/>
      <c r="G29" s="7"/>
      <c r="H29" s="18"/>
      <c r="I29" s="19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2">
      <c r="A30" s="84"/>
      <c r="B30" s="79" t="s">
        <v>97</v>
      </c>
      <c r="C30" s="80"/>
      <c r="D30" s="89" t="s">
        <v>120</v>
      </c>
      <c r="E30" s="90"/>
      <c r="F30" s="91"/>
      <c r="G30" s="7"/>
      <c r="H30" s="18"/>
      <c r="I30" s="19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2">
      <c r="A31" s="84"/>
      <c r="B31" s="154"/>
      <c r="C31" s="155"/>
      <c r="D31" s="89" t="s">
        <v>122</v>
      </c>
      <c r="E31" s="90"/>
      <c r="F31" s="91"/>
      <c r="G31" s="7"/>
      <c r="H31" s="18"/>
      <c r="I31" s="19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2">
      <c r="A32" s="84"/>
      <c r="B32" s="81"/>
      <c r="C32" s="82"/>
      <c r="D32" s="86" t="s">
        <v>123</v>
      </c>
      <c r="E32" s="87"/>
      <c r="F32" s="88"/>
      <c r="G32" s="7"/>
      <c r="H32" s="18"/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2.75" customHeight="1" x14ac:dyDescent="0.2">
      <c r="A33" s="135" t="s">
        <v>27</v>
      </c>
      <c r="B33" s="132" t="s">
        <v>81</v>
      </c>
      <c r="C33" s="133"/>
      <c r="D33" s="86" t="s">
        <v>127</v>
      </c>
      <c r="E33" s="87"/>
      <c r="F33" s="88"/>
      <c r="G33" s="7"/>
      <c r="H33" s="18"/>
      <c r="I33" s="14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2.75" customHeight="1" x14ac:dyDescent="0.2">
      <c r="A34" s="136"/>
      <c r="B34" s="132" t="s">
        <v>41</v>
      </c>
      <c r="C34" s="133"/>
      <c r="D34" s="134" t="s">
        <v>124</v>
      </c>
      <c r="E34" s="77"/>
      <c r="F34" s="78"/>
      <c r="G34" s="7"/>
      <c r="H34" s="18"/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2.75" customHeight="1" x14ac:dyDescent="0.2">
      <c r="A35" s="136"/>
      <c r="B35" s="132" t="s">
        <v>38</v>
      </c>
      <c r="C35" s="133"/>
      <c r="D35" s="134" t="s">
        <v>125</v>
      </c>
      <c r="E35" s="77"/>
      <c r="F35" s="78"/>
      <c r="G35" s="7"/>
      <c r="H35" s="18"/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2.75" customHeight="1" x14ac:dyDescent="0.2">
      <c r="A36" s="137"/>
      <c r="B36" s="132" t="s">
        <v>53</v>
      </c>
      <c r="C36" s="133"/>
      <c r="D36" s="86" t="s">
        <v>126</v>
      </c>
      <c r="E36" s="87"/>
      <c r="F36" s="88"/>
      <c r="G36" s="7"/>
      <c r="H36" s="18"/>
      <c r="I36" s="14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30"/>
      <c r="B37" s="131"/>
      <c r="C37" s="131"/>
      <c r="D37" s="131"/>
      <c r="E37" s="131"/>
      <c r="F37" s="131"/>
      <c r="G37" s="131"/>
      <c r="H37" s="13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26" t="s">
        <v>12</v>
      </c>
      <c r="B38" s="127"/>
      <c r="C38" s="127"/>
      <c r="D38" s="127"/>
      <c r="E38" s="128"/>
      <c r="F38" s="129" t="s">
        <v>13</v>
      </c>
      <c r="G38" s="127"/>
      <c r="H38" s="1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8">
        <v>8</v>
      </c>
      <c r="B39" s="67" t="s">
        <v>14</v>
      </c>
      <c r="C39" s="63"/>
      <c r="D39" s="63"/>
      <c r="E39" s="64"/>
      <c r="F39" s="65">
        <v>100</v>
      </c>
      <c r="G39" s="63"/>
      <c r="H39" s="6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8">
        <v>7</v>
      </c>
      <c r="B40" s="68" t="s">
        <v>95</v>
      </c>
      <c r="C40" s="69"/>
      <c r="D40" s="69"/>
      <c r="E40" s="70"/>
      <c r="F40" s="65">
        <v>95</v>
      </c>
      <c r="G40" s="63"/>
      <c r="H40" s="6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8">
        <v>6</v>
      </c>
      <c r="B41" s="68" t="s">
        <v>52</v>
      </c>
      <c r="C41" s="69"/>
      <c r="D41" s="69"/>
      <c r="E41" s="70"/>
      <c r="F41" s="65">
        <v>90</v>
      </c>
      <c r="G41" s="63"/>
      <c r="H41" s="6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8">
        <v>5</v>
      </c>
      <c r="B42" s="62" t="s">
        <v>49</v>
      </c>
      <c r="C42" s="63"/>
      <c r="D42" s="63"/>
      <c r="E42" s="64"/>
      <c r="F42" s="65">
        <v>80</v>
      </c>
      <c r="G42" s="63"/>
      <c r="H42" s="6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8">
        <v>4</v>
      </c>
      <c r="B43" s="62" t="s">
        <v>50</v>
      </c>
      <c r="C43" s="63"/>
      <c r="D43" s="63"/>
      <c r="E43" s="64"/>
      <c r="F43" s="65">
        <v>70</v>
      </c>
      <c r="G43" s="63"/>
      <c r="H43" s="6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8">
        <v>3</v>
      </c>
      <c r="B44" s="62" t="s">
        <v>51</v>
      </c>
      <c r="C44" s="63"/>
      <c r="D44" s="63"/>
      <c r="E44" s="64"/>
      <c r="F44" s="65">
        <v>60</v>
      </c>
      <c r="G44" s="63"/>
      <c r="H44" s="6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8">
        <v>2</v>
      </c>
      <c r="B45" s="66" t="s">
        <v>15</v>
      </c>
      <c r="C45" s="63"/>
      <c r="D45" s="63"/>
      <c r="E45" s="64"/>
      <c r="F45" s="65">
        <v>50</v>
      </c>
      <c r="G45" s="63"/>
      <c r="H45" s="6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8">
        <v>1</v>
      </c>
      <c r="B46" s="67" t="s">
        <v>16</v>
      </c>
      <c r="C46" s="63"/>
      <c r="D46" s="63"/>
      <c r="E46" s="64"/>
      <c r="F46" s="65">
        <v>30</v>
      </c>
      <c r="G46" s="63"/>
      <c r="H46" s="6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">
      <c r="A47" s="9"/>
      <c r="B47" s="9"/>
      <c r="C47" s="9"/>
      <c r="D47" s="10"/>
      <c r="E47" s="10"/>
      <c r="F47" s="11"/>
      <c r="G47" s="12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2"/>
      <c r="B48" s="12"/>
      <c r="C48" s="13"/>
      <c r="D48" s="16" t="s">
        <v>17</v>
      </c>
      <c r="E48" s="16" t="s">
        <v>18</v>
      </c>
      <c r="F48" s="16" t="s">
        <v>19</v>
      </c>
      <c r="G48" s="12"/>
      <c r="H48" s="1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2"/>
      <c r="B49" s="12"/>
      <c r="C49" s="12"/>
      <c r="D49" s="17" t="s">
        <v>20</v>
      </c>
      <c r="E49" s="55">
        <v>1</v>
      </c>
      <c r="F49" s="55">
        <v>0</v>
      </c>
      <c r="G49" s="57" t="s">
        <v>47</v>
      </c>
      <c r="H49" s="59" t="s">
        <v>48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2"/>
      <c r="B50" s="12"/>
      <c r="C50" s="12"/>
      <c r="D50" s="38" t="s">
        <v>21</v>
      </c>
      <c r="E50" s="56"/>
      <c r="F50" s="56"/>
      <c r="G50" s="58"/>
      <c r="H50" s="6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5.5" customHeight="1" x14ac:dyDescent="0.2">
      <c r="A51" s="61" t="s">
        <v>36</v>
      </c>
      <c r="B51" s="61"/>
      <c r="C51" s="61"/>
      <c r="D51" s="61"/>
      <c r="E51" s="61"/>
      <c r="F51" s="61"/>
      <c r="G51" s="61"/>
      <c r="H51" s="61"/>
      <c r="I51" s="61"/>
      <c r="J51" s="6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1"/>
      <c r="C52" s="1"/>
      <c r="D52" s="1"/>
      <c r="E52" s="1"/>
      <c r="F52" s="4"/>
      <c r="G52" s="5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</sheetData>
  <mergeCells count="84">
    <mergeCell ref="A1:J1"/>
    <mergeCell ref="A2:B3"/>
    <mergeCell ref="C2:D3"/>
    <mergeCell ref="E2:F2"/>
    <mergeCell ref="G2:H2"/>
    <mergeCell ref="I2:J2"/>
    <mergeCell ref="E3:F3"/>
    <mergeCell ref="G3:H3"/>
    <mergeCell ref="I3:J3"/>
    <mergeCell ref="G11:H11"/>
    <mergeCell ref="I11:J11"/>
    <mergeCell ref="A4:B5"/>
    <mergeCell ref="C4:D5"/>
    <mergeCell ref="E4:F4"/>
    <mergeCell ref="G4:J4"/>
    <mergeCell ref="E5:F5"/>
    <mergeCell ref="G5:J7"/>
    <mergeCell ref="A6:B7"/>
    <mergeCell ref="C6:D7"/>
    <mergeCell ref="E6:F7"/>
    <mergeCell ref="A8:J8"/>
    <mergeCell ref="G9:H9"/>
    <mergeCell ref="I9:J9"/>
    <mergeCell ref="G10:H10"/>
    <mergeCell ref="I10:J10"/>
    <mergeCell ref="A22:J22"/>
    <mergeCell ref="G12:H12"/>
    <mergeCell ref="I12:J12"/>
    <mergeCell ref="A13:J13"/>
    <mergeCell ref="A14:J14"/>
    <mergeCell ref="A20:J20"/>
    <mergeCell ref="A21:J21"/>
    <mergeCell ref="A15:J15"/>
    <mergeCell ref="A16:J16"/>
    <mergeCell ref="A17:J17"/>
    <mergeCell ref="A18:J18"/>
    <mergeCell ref="A19:J19"/>
    <mergeCell ref="A23:J23"/>
    <mergeCell ref="A24:J24"/>
    <mergeCell ref="A25:C26"/>
    <mergeCell ref="D25:F26"/>
    <mergeCell ref="G25:J25"/>
    <mergeCell ref="A38:E38"/>
    <mergeCell ref="F38:H38"/>
    <mergeCell ref="D30:F30"/>
    <mergeCell ref="D32:F32"/>
    <mergeCell ref="A33:A36"/>
    <mergeCell ref="B33:C33"/>
    <mergeCell ref="D33:F33"/>
    <mergeCell ref="B34:C34"/>
    <mergeCell ref="D34:F34"/>
    <mergeCell ref="A27:A32"/>
    <mergeCell ref="B27:C29"/>
    <mergeCell ref="D27:F27"/>
    <mergeCell ref="D29:F29"/>
    <mergeCell ref="B30:C32"/>
    <mergeCell ref="D31:F31"/>
    <mergeCell ref="D28:F28"/>
    <mergeCell ref="B35:C35"/>
    <mergeCell ref="D35:F35"/>
    <mergeCell ref="B36:C36"/>
    <mergeCell ref="D36:F36"/>
    <mergeCell ref="A37:H37"/>
    <mergeCell ref="B39:E39"/>
    <mergeCell ref="F39:H39"/>
    <mergeCell ref="B41:E41"/>
    <mergeCell ref="F41:H41"/>
    <mergeCell ref="B44:E44"/>
    <mergeCell ref="F44:H44"/>
    <mergeCell ref="A51:J51"/>
    <mergeCell ref="B43:E43"/>
    <mergeCell ref="B42:E42"/>
    <mergeCell ref="B40:E40"/>
    <mergeCell ref="F40:H40"/>
    <mergeCell ref="F42:H42"/>
    <mergeCell ref="F43:H43"/>
    <mergeCell ref="B45:E45"/>
    <mergeCell ref="F45:H45"/>
    <mergeCell ref="B46:E46"/>
    <mergeCell ref="F46:H46"/>
    <mergeCell ref="E49:E50"/>
    <mergeCell ref="F49:F50"/>
    <mergeCell ref="G49:G50"/>
    <mergeCell ref="H49:H50"/>
  </mergeCell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6247-B9FA-4D99-8386-8EE0F77272C8}">
  <dimension ref="A1:I9"/>
  <sheetViews>
    <sheetView workbookViewId="0">
      <selection activeCell="N13" sqref="N13"/>
    </sheetView>
  </sheetViews>
  <sheetFormatPr defaultRowHeight="14.25" x14ac:dyDescent="0.2"/>
  <sheetData>
    <row r="1" spans="1:9" ht="23.25" x14ac:dyDescent="0.2">
      <c r="A1" s="148" t="s">
        <v>83</v>
      </c>
      <c r="B1" s="149"/>
      <c r="C1" s="149"/>
      <c r="D1" s="149"/>
      <c r="E1" s="149"/>
      <c r="F1" s="149"/>
      <c r="G1" s="149"/>
      <c r="H1" s="149"/>
      <c r="I1" s="149"/>
    </row>
    <row r="2" spans="1:9" ht="18" customHeight="1" x14ac:dyDescent="0.2">
      <c r="A2" s="151" t="s">
        <v>82</v>
      </c>
      <c r="B2" s="152"/>
      <c r="C2" s="152"/>
      <c r="D2" s="152"/>
      <c r="E2" s="152"/>
      <c r="F2" s="152"/>
      <c r="G2" s="152"/>
      <c r="H2" s="152"/>
      <c r="I2" s="153"/>
    </row>
    <row r="3" spans="1:9" x14ac:dyDescent="0.2">
      <c r="A3" s="40" t="s">
        <v>72</v>
      </c>
      <c r="B3" s="41"/>
      <c r="C3" s="41"/>
      <c r="D3" s="41"/>
      <c r="E3" s="41"/>
      <c r="F3" s="41"/>
      <c r="G3" s="41"/>
      <c r="H3" s="41"/>
      <c r="I3" s="42"/>
    </row>
    <row r="4" spans="1:9" x14ac:dyDescent="0.2">
      <c r="A4" s="43" t="s">
        <v>73</v>
      </c>
      <c r="B4" s="44"/>
      <c r="C4" s="44"/>
      <c r="D4" s="44"/>
      <c r="E4" s="44"/>
      <c r="F4" s="44"/>
      <c r="G4" s="44"/>
      <c r="H4" s="44"/>
      <c r="I4" s="45"/>
    </row>
    <row r="5" spans="1:9" x14ac:dyDescent="0.2">
      <c r="A5" s="43" t="s">
        <v>74</v>
      </c>
      <c r="B5" s="44"/>
      <c r="C5" s="44"/>
      <c r="D5" s="44"/>
      <c r="E5" s="44"/>
      <c r="F5" s="44"/>
      <c r="G5" s="44"/>
      <c r="H5" s="44"/>
      <c r="I5" s="45"/>
    </row>
    <row r="6" spans="1:9" x14ac:dyDescent="0.2">
      <c r="A6" s="43" t="s">
        <v>75</v>
      </c>
      <c r="B6" s="44"/>
      <c r="C6" s="44"/>
      <c r="D6" s="44"/>
      <c r="E6" s="44"/>
      <c r="F6" s="44"/>
      <c r="G6" s="44"/>
      <c r="H6" s="44"/>
      <c r="I6" s="45"/>
    </row>
    <row r="7" spans="1:9" x14ac:dyDescent="0.2">
      <c r="A7" s="46" t="s">
        <v>76</v>
      </c>
      <c r="B7" s="47"/>
      <c r="C7" s="47"/>
      <c r="D7" s="47"/>
      <c r="E7" s="47"/>
      <c r="F7" s="47"/>
      <c r="G7" s="47"/>
      <c r="H7" s="47"/>
      <c r="I7" s="48"/>
    </row>
    <row r="9" spans="1:9" ht="23.25" x14ac:dyDescent="0.2">
      <c r="A9" s="148" t="s">
        <v>84</v>
      </c>
      <c r="B9" s="149"/>
      <c r="C9" s="149"/>
      <c r="D9" s="149"/>
      <c r="E9" s="149"/>
      <c r="F9" s="149"/>
      <c r="G9" s="149"/>
      <c r="H9" s="149"/>
      <c r="I9" s="149"/>
    </row>
  </sheetData>
  <mergeCells count="3">
    <mergeCell ref="A1:I1"/>
    <mergeCell ref="A2:I2"/>
    <mergeCell ref="A9:I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2E4A-C38D-4BDB-9F49-B82B6E8AEB6C}">
  <dimension ref="A1:C38"/>
  <sheetViews>
    <sheetView workbookViewId="0">
      <selection activeCell="A9" sqref="A9"/>
    </sheetView>
  </sheetViews>
  <sheetFormatPr defaultRowHeight="14.25" x14ac:dyDescent="0.2"/>
  <cols>
    <col min="1" max="1" width="90.125" customWidth="1"/>
  </cols>
  <sheetData>
    <row r="1" spans="1:1" ht="25.5" thickBot="1" x14ac:dyDescent="0.25">
      <c r="A1" s="49" t="s">
        <v>106</v>
      </c>
    </row>
    <row r="2" spans="1:1" ht="15" thickBot="1" x14ac:dyDescent="0.25">
      <c r="A2" s="50" t="s">
        <v>107</v>
      </c>
    </row>
    <row r="3" spans="1:1" ht="43.5" thickBot="1" x14ac:dyDescent="0.25">
      <c r="A3" s="51" t="s">
        <v>108</v>
      </c>
    </row>
    <row r="4" spans="1:1" ht="288" customHeight="1" thickBot="1" x14ac:dyDescent="0.25">
      <c r="A4" s="52"/>
    </row>
    <row r="5" spans="1:1" ht="15" thickBot="1" x14ac:dyDescent="0.25">
      <c r="A5" s="50" t="s">
        <v>106</v>
      </c>
    </row>
    <row r="6" spans="1:1" ht="43.5" thickBot="1" x14ac:dyDescent="0.25">
      <c r="A6" s="51" t="s">
        <v>109</v>
      </c>
    </row>
    <row r="7" spans="1:1" ht="16.5" x14ac:dyDescent="0.2">
      <c r="A7" s="53" t="s">
        <v>110</v>
      </c>
    </row>
    <row r="8" spans="1:1" ht="17.25" x14ac:dyDescent="0.2">
      <c r="A8" s="52"/>
    </row>
    <row r="19" spans="3:3" x14ac:dyDescent="0.2">
      <c r="C19" s="54" t="s">
        <v>111</v>
      </c>
    </row>
    <row r="37" spans="1:1" ht="15" thickBot="1" x14ac:dyDescent="0.25"/>
    <row r="38" spans="1:1" ht="15" thickBot="1" x14ac:dyDescent="0.25">
      <c r="A38" s="50" t="s">
        <v>112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Ensino1</vt:lpstr>
      <vt:lpstr>Plano de Ensino2</vt:lpstr>
      <vt:lpstr>Atividades-IP</vt:lpstr>
      <vt:lpstr>Atividade1-Arduino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pcsenai senai</cp:lastModifiedBy>
  <cp:lastPrinted>2024-09-27T22:52:57Z</cp:lastPrinted>
  <dcterms:created xsi:type="dcterms:W3CDTF">2014-10-03T14:17:32Z</dcterms:created>
  <dcterms:modified xsi:type="dcterms:W3CDTF">2026-02-09T17:14:06Z</dcterms:modified>
</cp:coreProperties>
</file>