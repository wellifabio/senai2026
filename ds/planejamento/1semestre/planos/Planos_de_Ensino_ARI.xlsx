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Instrutor\Downloads\"/>
    </mc:Choice>
  </mc:AlternateContent>
  <xr:revisionPtr revIDLastSave="0" documentId="13_ncr:1_{17F2E3C0-E730-46DA-9CD6-0D729A72D4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o de Ensino1" sheetId="2" r:id="rId1"/>
    <sheet name="Plano de Ensino2" sheetId="6" r:id="rId2"/>
    <sheet name="Atividades-IP" sheetId="5" r:id="rId3"/>
    <sheet name="Atividade1-Arduino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2" i="6" l="1"/>
  <c r="B13" i="2"/>
</calcChain>
</file>

<file path=xl/sharedStrings.xml><?xml version="1.0" encoding="utf-8"?>
<sst xmlns="http://schemas.openxmlformats.org/spreadsheetml/2006/main" count="187" uniqueCount="118">
  <si>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</si>
  <si>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</si>
  <si>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</si>
  <si>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</si>
  <si>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</si>
  <si>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</si>
  <si>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</si>
  <si>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</si>
  <si>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</si>
  <si>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</si>
  <si>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</si>
  <si>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</si>
  <si>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</si>
  <si>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</si>
  <si>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</si>
  <si>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</si>
  <si>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</si>
  <si>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</si>
  <si>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</si>
  <si>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</si>
  <si>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</si>
  <si>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</si>
  <si>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</si>
  <si>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</si>
  <si>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</si>
  <si>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</si>
  <si>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</si>
  <si>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</si>
  <si>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</si>
  <si>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</si>
  <si>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</si>
  <si>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</si>
  <si>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</si>
  <si>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</si>
  <si>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</si>
  <si>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</si>
  <si>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</si>
  <si>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</si>
  <si>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>3. Demonstrar inteligência emocional</t>
  </si>
  <si>
    <t>Técnico em Desenvolvimento de Sistemas</t>
  </si>
  <si>
    <t>Projetor Multimídia, Computador com acesso a internet, Quadro Branco.</t>
  </si>
  <si>
    <t xml:space="preserve">2. Demonstrar pensamento analítico </t>
  </si>
  <si>
    <t>Docente : Wellington Fábio de O. Martins</t>
  </si>
  <si>
    <t>Data:    /    /2026</t>
  </si>
  <si>
    <t>Dia01 Dia02 Dia03</t>
  </si>
  <si>
    <t>Dia04 Dia05 Dia06 Dia07</t>
  </si>
  <si>
    <t>Avaliação Formativa - Projeto</t>
  </si>
  <si>
    <t>S</t>
  </si>
  <si>
    <t>Somativa</t>
  </si>
  <si>
    <t>Acertou todos os critérios críticos e pelo menos 3 dos 6 desejáveis</t>
  </si>
  <si>
    <t>Acertou todos os critérios críticos e pelo menos 2 dos 6 desejáveis</t>
  </si>
  <si>
    <t>Acertou todos os critérios críticos e pelo menos 1 dos 6 desejáveis</t>
  </si>
  <si>
    <t>Acertou todos os critérios críticos e pelo menos 4 dos 6 desejáveis</t>
  </si>
  <si>
    <t>4 Demonstrar autonomia</t>
  </si>
  <si>
    <t>Dia08 Dia09 Dia10</t>
  </si>
  <si>
    <t>Desenvolver capacidades básicas e socioemocionais necessárias para utilizar serviços de redes locais e industriais, para aplicações em nuvens públicas e privadas</t>
  </si>
  <si>
    <t>ARQUITETURA DE REDES COM IOT</t>
  </si>
  <si>
    <t>Data: 09/02/2026</t>
  </si>
  <si>
    <t>Carga Horária Presencial: 50</t>
  </si>
  <si>
    <t>Carga Horária Total: 50</t>
  </si>
  <si>
    <t>1 Identificar as topologias empregadas nas redes de computadores</t>
  </si>
  <si>
    <t>2 Identificar modelos e protocolo TCP/IP de rede e suas aplicações na comunicação entre sistemas computacionais</t>
  </si>
  <si>
    <t>3 Utilizar ativos e passivos que compõem uma rede de computadores</t>
  </si>
  <si>
    <t>1 Arquitetura de Redes
1.1. Definição
1.2. Tipos
1.2.1.Rede Cliente-Servidor
1.2.2.Rede Peer-to-Peer (P2P)
1.2.3.Rede em Camadas
1.2.4.Rede em Árvore (Hierárquica)
1.2.5.Rede em Anel (Ring)
1.2.6.Rede em Malha (Mesh)
1.3. Meios de transmissão de dados
1.3.1.Cabeado
1.3.2.Sem fio</t>
  </si>
  <si>
    <t>2 Modelos e protocolo de redes
2.1. Definição
2.2. Protocolo TCP/IP
2.2.1.Definição
2.2.2.Endereçamento de IPv4
2.2.3.Endereçamento de IPv6
2.2.4.Portas
2.3. Protocolo MQTT (Message Queuing Telemetry Transport)
2.3.1.Definição
2.3.2.Aplicação</t>
  </si>
  <si>
    <t>3 Equipamentos de rede
3.1. Roteador
3.2. Switch
3.3. Access Point
3.4. Gateway
3.5. Firewall</t>
  </si>
  <si>
    <t>O que são redes de computadores? O que são equipamentos de rede? Quais os elementos principais de uma comunicação? O que é uma topologia? Toda topologia  tem que ser cabeada? Por que não precisa ser cabeada?</t>
  </si>
  <si>
    <t>O que são protocolos de rede? O que é um protocolo no geral? Por que o nome TCP/IP do protocolo mais utilizado atualmente? Cite diferenças entre IPv4 e IPv6? Por quê a internet ainda utiliza IPv4</t>
  </si>
  <si>
    <t>Aula expositiva, Listas de exercícios, Aulas práticas configurando laptops em rede e climpando pontas de cabos de rede.</t>
  </si>
  <si>
    <t>Aula expositiva e dialogada, Aula prática configurando equipamentos de rede siples "access point", trabalho em grupo resolvendo o desafio de um orçamento e elaborando um projeto de redes.</t>
  </si>
  <si>
    <t>Aula expositiva, demonstração,Desafios com interação online "Kahoot", Dinâmica "Telefone sem fio"</t>
  </si>
  <si>
    <t>Quais as diferenças entre um roteador e um access point? Cite diferenças entre Hub e Switch? Para que serve um fiewall? O que é o Gateway?</t>
  </si>
  <si>
    <t>Listas de exercícios, Situação problema</t>
  </si>
  <si>
    <t>Listas de exercícios, Estudos de caso.</t>
  </si>
  <si>
    <t>Ttrabalho em grupo resolvendo o desafio de um orçamento e elaborando um projeto de redes.</t>
  </si>
  <si>
    <t>1 Dado o IP 192.168.10.5/24, qual é a máscara de subrede?</t>
  </si>
  <si>
    <t>2 Dado o IP 10.87.202.132/25 qual é o gateway e máscara de subrede?</t>
  </si>
  <si>
    <t>3 Dado o IP 172.16.100.25/24 qual é o gateway, máscara de subrede e broadcast?</t>
  </si>
  <si>
    <t>4 Dado o IP 172.16.100.25/24 qual é o gateway, máscara de subrede e broadcast?</t>
  </si>
  <si>
    <t>5 Dado o IP 192.168.1.144/26 qual a máscara, o IP da rede, o Gateway e o Broadcast?</t>
  </si>
  <si>
    <t>A empresa WFOM Engenharia pretende abrir uma nova filial em Jaguariúna e já alugou o segundo andar de um prédio, onde montará seu escritório. Contará com cinco funcionários, além da equipe de limpeza e outros serviços terceirizados. Os funcionários são: um atendente de relacionamento com clientes que ficará na recepção, dois engenheiros civis e dois técnicos em edificações. A planta do escritório conta com uma recepção, uma sala para cada engenheiro e uma sala onde os dois técnicos trabalharão juntos, uma sala de reuniões e uma sala para demonstrações e atendimentos aos clientes, com um Datashow, onde os projetos serão apresentados e discutidos.</t>
  </si>
  <si>
    <r>
      <t>Como técnico em desenvolvimento de sistemas, você também é empreendedor e possui uma consultoria que fornece, além de sistemas, também hardware, softwares e manutenção de equipamentos de TI para escritórios em geral. Foi procurado por um representante da WFOM solicitando uma análise técnica dos equipamentos necessários, um orçamento para aquisição destes e uma proposta de contrato de manutenção por um ano.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>: 1 Identificar as topologias empregadas nas redes de computadores.]
O atendente e os dois técnicos em edificações, vão trabalhar a maior parte do tempo dentro da filial e utilizarão softwares com alto poder de processamento de imagens vetoriais 2D e 3D, como AutoCad e Inventor. Já os dois engenheiros ficarão parte do tempo no escritório e outra parte acompanhando as obras e necessitarão dos mesmos softwares, porém em computadores portáteis. O orçamento para cumprir todos os requisitos (hardware + licenças dos softwares + projeto de manutenção anual) é de R$100.000,00.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 xml:space="preserve">: 2 Identificar modelos e protocolo TCP/IP de rede e suas aplicações na comunicação entre sistemas computacionais] 	 	 	 	 	 	 	 </t>
    </r>
  </si>
  <si>
    <r>
      <t>Elabore um orçamento utilizando o Excel contendo as especificações dos hardwares e softwares necessários para atender as necessidades de cada perfil de usuário da nova filial – PC (Gabinetes, Placa mãe, HD, Memória RAM, Placa de Vídeo, Monitor), Notebooks (Placa mãe, HD, Memória RAM, Placa de Vídeo), Impressoras, Projetor, etc. Exporte no formato PDF e anexe nesta atividade.
[</t>
    </r>
    <r>
      <rPr>
        <b/>
        <sz val="11"/>
        <color theme="1"/>
        <rFont val="Arial"/>
        <family val="2"/>
      </rPr>
      <t>Capacidade</t>
    </r>
    <r>
      <rPr>
        <sz val="11"/>
        <color theme="1"/>
        <rFont val="Arial"/>
        <family val="2"/>
      </rPr>
      <t>: 3 Utilizar ativos e passivos que compõem uma rede de computadores]
Elabore também um contrato de manutenção dos equipamentos e softwares utilize o Word por um período de um ano (Especifique os tipos de serviços prestados, formatação, backup, etc.).A20</t>
    </r>
  </si>
  <si>
    <r>
      <t xml:space="preserve">Crie um repositório no </t>
    </r>
    <r>
      <rPr>
        <b/>
        <sz val="11"/>
        <color theme="1"/>
        <rFont val="Arial"/>
        <family val="2"/>
      </rPr>
      <t>github</t>
    </r>
    <r>
      <rPr>
        <sz val="11"/>
        <color theme="1"/>
        <rFont val="Arial"/>
        <family val="2"/>
      </rPr>
      <t xml:space="preserve"> contendo os dois arquivos, contrato no Word e Orçamento em Excel além de um README.md com esta explicação do desafio e um resumo da proposta. Envie o link do repositório no link que o instrutor irá disponibilizar juntamente com os nomes dos integrantes do grupo.</t>
    </r>
  </si>
  <si>
    <t>1 Demonstrar autogestão</t>
  </si>
  <si>
    <t>Lista de exercícios</t>
  </si>
  <si>
    <t>Atividade</t>
  </si>
  <si>
    <t>Resolução</t>
  </si>
  <si>
    <t>Identidicou a topologia a ser empregada para solucionar o desafio</t>
  </si>
  <si>
    <t>Descreveu no orçamento os equipamentos compatíveis como pontos de acesso sem fio e quantidade de cabos</t>
  </si>
  <si>
    <t>Descreveu a rede utilizando o IPv4</t>
  </si>
  <si>
    <t>Justificou qual classe de IPv4 e máscara irá utilizar</t>
  </si>
  <si>
    <t>Criou o orçamento descrevendo os equipamentos que irá utilizar.</t>
  </si>
  <si>
    <t>Descreveu tecnicamente as funções, configurações e desempenho mínimo dos equipamentos em enfatizar a marca.</t>
  </si>
  <si>
    <t>Cooperou para que o grupo cumprisse todas as tarefas solicitadas</t>
  </si>
  <si>
    <t>Desempenhou seu papel no grupo cumprindo a tarefa que foi designado compreendendo seu papel no resultado final</t>
  </si>
  <si>
    <t>Resolveu eventuais conflitos oriundos do trabalho em equipe, cobrança de resultados e manteve o relacionamento interpessoal.</t>
  </si>
  <si>
    <t>Cumpriu os prasos e entregou todas as entregas solicitadas integralmente.</t>
  </si>
  <si>
    <t>Acertou todos os critérios críticos e pelo menos 5 dos 6 desejáveis</t>
  </si>
  <si>
    <t>4 Aplicar arquitetura de hardware em IoT</t>
  </si>
  <si>
    <t>5 Configurar os tipos de serviços fundamentais de redes</t>
  </si>
  <si>
    <t>4 Arquitetura de hardware IoT
4.1. Unidades de medidas computacionais
4.2. I/O (Inputs e Outputs)
4.3. Processadores
4.4. Sensores
4.5. Memórias
4.6. Armazenamento</t>
  </si>
  <si>
    <t>Dia11 Dia12 Dia13 Dia14 dia15</t>
  </si>
  <si>
    <t>Dia16 Dia17 Dia18 Dia19 Dia20</t>
  </si>
  <si>
    <t>Aula expositiva, Listas de exercícios, Aulas práticas utilizando o simulador Thinkercad</t>
  </si>
  <si>
    <t>Aula expositiva, demonstração,Desafios com interação online "Kahoot". Atividades práticas no computador</t>
  </si>
  <si>
    <t>Listas de exercícios, Trabalho em grupo resolvendo situação problema.</t>
  </si>
  <si>
    <t>Listas de exercícios e Respostas a questionários.</t>
  </si>
  <si>
    <t>5 Serviços de Redes
5.1. Definição
5.2. Tipos
5.2.1.FTP (File Transfer Protocol)
5.2.2.HTTP/HTTPS (Hypertext Transfer Protocol/Seguro)
5.2.3.RDP (Remote Desktop Protocol)</t>
  </si>
  <si>
    <t>O que é Iot? Por que a indústria está dependente da internet das coisas? O que são sensores? Qual a diferença entre um sensor e um atuador? O que é um microcontrolador? Qual a diferença entre um ARDUINO e uma Raspbarry PI?</t>
  </si>
  <si>
    <t>Por que utilizamos protocolo de transferência de arquivos atualmente? Qual a diferença entre o protocolo HTTP e HTTPS? Qual protocolo utilizamos para compartilhar a área de trabalho remotamente?</t>
  </si>
  <si>
    <t>Desafio</t>
  </si>
  <si>
    <t>Contextualização</t>
  </si>
  <si>
    <t>Sr. Adolfo é síndico de um condomínio muito grande, possui mais de 1500 casas com duas vagas na garagem cada uma. Nos horários de pico o cruzamento principal que leva a portaria fica congestionado, para resolver o problema precisa instalar um semáforo</t>
  </si>
  <si>
    <t>Construa dois semaforos controlados por um Arduíno UNO para o cruzamento da portaria, como protótipo, deixe a luz verde com 2,5 segundos, a amarela com 0,5 segundos e o vermelho com 3 segundos, garanta que não haja acidentes causados por má programação dos semáforos</t>
  </si>
  <si>
    <t>Protótipo</t>
  </si>
  <si>
    <t xml:space="preserve"> </t>
  </si>
  <si>
    <t>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</si>
</sst>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3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b/>
      <sz val="12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  <scheme val="minor"/>
    </font>
    <font>
      <sz val="11"/>
      <color rgb="FFFF0000"/>
      <name val="Arial"/>
      <family val="2"/>
    </font>
    <font>
      <sz val="11"/>
      <color rgb="FF000000"/>
      <name val="Arial"/>
      <family val="2"/>
    </font>
    <font>
      <u/>
      <sz val="12"/>
      <color rgb="FF0969DA"/>
      <name val="Segoe UI"/>
      <family val="2"/>
    </font>
    <font>
      <sz val="16.5"/>
      <color rgb="FF1F2328"/>
      <name val="Segoe UI"/>
      <family val="2"/>
    </font>
    <font>
      <sz val="11"/>
      <color theme="1"/>
      <name val="Arial"/>
      <family val="2"/>
      <scheme val="minor"/>
    </font>
    <font>
      <sz val="11"/>
      <color rgb="FF1F2328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1">
    <xf numFmtId="0" fontId="0" fillId="0" borderId="0"/>
  </cellStyleXfs>
  <cellXfs count="154">
    <xf numFmtId="0" fontId="0" fillId="0" borderId="0" xfId="0"/>
    <xf numFmtId="0" fontId="8" fillId="0" borderId="0" xfId="0" applyFont="1" applyAlignment="1">
      <alignment wrapText="1"/>
    </xf>
    <xf numFmtId="0" fontId="8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left" wrapText="1"/>
    </xf>
    <xf numFmtId="0" fontId="10" fillId="0" borderId="0" xfId="0" applyFont="1"/>
    <xf numFmtId="0" fontId="13" fillId="0" borderId="2" xfId="0" applyFont="1" applyBorder="1" applyAlignment="1">
      <alignment horizontal="center" wrapText="1"/>
    </xf>
    <xf numFmtId="0" fontId="11" fillId="2" borderId="7" xfId="0" applyFont="1" applyFill="1" applyBorder="1" applyAlignment="1">
      <alignment horizontal="center" wrapText="1"/>
    </xf>
    <xf numFmtId="165" fontId="12" fillId="0" borderId="0" xfId="0" applyNumberFormat="1" applyFont="1"/>
    <xf numFmtId="165" fontId="12" fillId="0" borderId="1" xfId="0" applyNumberFormat="1" applyFont="1" applyBorder="1"/>
    <xf numFmtId="0" fontId="12" fillId="0" borderId="1" xfId="0" applyFont="1" applyBorder="1"/>
    <xf numFmtId="0" fontId="12" fillId="0" borderId="0" xfId="0" applyFont="1"/>
    <xf numFmtId="0" fontId="12" fillId="0" borderId="8" xfId="0" applyFont="1" applyBorder="1"/>
    <xf numFmtId="0" fontId="8" fillId="0" borderId="11" xfId="0" applyFont="1" applyBorder="1" applyAlignment="1">
      <alignment wrapText="1"/>
    </xf>
    <xf numFmtId="0" fontId="8" fillId="0" borderId="11" xfId="0" applyFont="1" applyBorder="1" applyAlignment="1">
      <alignment horizontal="center" wrapText="1"/>
    </xf>
    <xf numFmtId="0" fontId="11" fillId="2" borderId="8" xfId="0" applyFont="1" applyFill="1" applyBorder="1" applyAlignment="1">
      <alignment horizontal="center" wrapText="1"/>
    </xf>
    <xf numFmtId="0" fontId="15" fillId="0" borderId="11" xfId="0" applyFont="1" applyBorder="1" applyAlignment="1">
      <alignment horizontal="center" wrapText="1"/>
    </xf>
    <xf numFmtId="0" fontId="12" fillId="0" borderId="1" xfId="0" applyFont="1" applyBorder="1" applyAlignment="1">
      <alignment vertical="top"/>
    </xf>
    <xf numFmtId="0" fontId="8" fillId="0" borderId="16" xfId="0" applyFont="1" applyBorder="1" applyAlignment="1">
      <alignment wrapText="1"/>
    </xf>
    <xf numFmtId="0" fontId="27" fillId="0" borderId="11" xfId="0" applyFont="1" applyBorder="1" applyAlignment="1">
      <alignment wrapText="1"/>
    </xf>
    <xf numFmtId="0" fontId="28" fillId="0" borderId="11" xfId="0" applyFont="1" applyBorder="1" applyAlignment="1">
      <alignment horizontal="left" wrapText="1"/>
    </xf>
    <xf numFmtId="0" fontId="29" fillId="0" borderId="11" xfId="0" applyFont="1" applyBorder="1" applyAlignment="1">
      <alignment horizontal="left" wrapText="1"/>
    </xf>
    <xf numFmtId="0" fontId="8" fillId="0" borderId="2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164" fontId="30" fillId="0" borderId="11" xfId="0" applyNumberFormat="1" applyFont="1" applyBorder="1" applyAlignment="1">
      <alignment horizontal="center" vertical="center" wrapText="1"/>
    </xf>
    <xf numFmtId="164" fontId="27" fillId="0" borderId="16" xfId="0" applyNumberFormat="1" applyFont="1" applyBorder="1" applyAlignment="1">
      <alignment horizontal="center" vertical="center" wrapText="1"/>
    </xf>
    <xf numFmtId="164" fontId="27" fillId="0" borderId="11" xfId="0" applyNumberFormat="1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27" fillId="0" borderId="7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left" vertical="center" wrapText="1"/>
    </xf>
    <xf numFmtId="0" fontId="29" fillId="0" borderId="0" xfId="0" applyFont="1" applyAlignment="1">
      <alignment horizontal="center" wrapText="1"/>
    </xf>
    <xf numFmtId="0" fontId="8" fillId="0" borderId="5" xfId="0" applyFont="1" applyBorder="1" applyAlignment="1">
      <alignment horizontal="center" vertical="center" wrapText="1"/>
    </xf>
    <xf numFmtId="164" fontId="30" fillId="0" borderId="11" xfId="0" applyNumberFormat="1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wrapText="1"/>
    </xf>
    <xf numFmtId="0" fontId="27" fillId="0" borderId="5" xfId="0" applyFont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8" fillId="0" borderId="12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31" fillId="0" borderId="11" xfId="0" applyFont="1" applyBorder="1" applyAlignment="1">
      <alignment horizontal="left" vertical="top" wrapText="1"/>
    </xf>
    <xf numFmtId="0" fontId="20" fillId="3" borderId="12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center" vertical="center"/>
    </xf>
    <xf numFmtId="0" fontId="20" fillId="3" borderId="14" xfId="0" applyFont="1" applyFill="1" applyBorder="1" applyAlignment="1">
      <alignment horizontal="center" vertical="center"/>
    </xf>
    <xf numFmtId="0" fontId="21" fillId="0" borderId="11" xfId="0" applyFont="1" applyBorder="1" applyAlignment="1">
      <alignment horizontal="center" vertical="top" wrapText="1"/>
    </xf>
    <xf numFmtId="0" fontId="29" fillId="4" borderId="1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wrapText="1"/>
    </xf>
    <xf numFmtId="0" fontId="4" fillId="0" borderId="1" xfId="0" applyFont="1" applyBorder="1"/>
    <xf numFmtId="0" fontId="4" fillId="0" borderId="2" xfId="0" applyFont="1" applyBorder="1"/>
    <xf numFmtId="0" fontId="13" fillId="0" borderId="1" xfId="0" applyFont="1" applyBorder="1" applyAlignment="1">
      <alignment horizontal="center" wrapText="1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/>
    <xf numFmtId="0" fontId="19" fillId="0" borderId="11" xfId="0" applyFont="1" applyBorder="1" applyAlignment="1">
      <alignment horizontal="center" wrapText="1"/>
    </xf>
    <xf numFmtId="0" fontId="11" fillId="0" borderId="15" xfId="0" applyFont="1" applyBorder="1" applyAlignment="1">
      <alignment horizontal="center" wrapText="1"/>
    </xf>
    <xf numFmtId="0" fontId="26" fillId="0" borderId="11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4" fillId="0" borderId="1" xfId="0" applyFont="1" applyBorder="1" applyAlignment="1">
      <alignment wrapText="1"/>
    </xf>
    <xf numFmtId="0" fontId="26" fillId="0" borderId="3" xfId="0" applyFont="1" applyBorder="1" applyAlignment="1">
      <alignment wrapText="1"/>
    </xf>
    <xf numFmtId="0" fontId="26" fillId="0" borderId="4" xfId="0" applyFont="1" applyBorder="1" applyAlignment="1">
      <alignment wrapText="1"/>
    </xf>
    <xf numFmtId="0" fontId="26" fillId="0" borderId="5" xfId="0" applyFont="1" applyBorder="1" applyAlignment="1">
      <alignment wrapText="1"/>
    </xf>
    <xf numFmtId="0" fontId="26" fillId="0" borderId="1" xfId="0" applyFont="1" applyBorder="1" applyAlignment="1">
      <alignment wrapText="1"/>
    </xf>
    <xf numFmtId="0" fontId="11" fillId="2" borderId="3" xfId="0" applyFont="1" applyFill="1" applyBorder="1" applyAlignment="1">
      <alignment horizontal="center" wrapText="1"/>
    </xf>
    <xf numFmtId="0" fontId="4" fillId="0" borderId="4" xfId="0" applyFont="1" applyBorder="1"/>
    <xf numFmtId="0" fontId="4" fillId="0" borderId="5" xfId="0" applyFont="1" applyBorder="1"/>
    <xf numFmtId="0" fontId="11" fillId="2" borderId="4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center"/>
    </xf>
    <xf numFmtId="0" fontId="31" fillId="0" borderId="1" xfId="0" applyFont="1" applyBorder="1" applyAlignment="1">
      <alignment horizontal="center" vertical="center" wrapText="1"/>
    </xf>
    <xf numFmtId="0" fontId="35" fillId="0" borderId="2" xfId="0" applyFont="1" applyBorder="1" applyAlignment="1">
      <alignment horizontal="center" vertical="center"/>
    </xf>
    <xf numFmtId="0" fontId="38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/>
    </xf>
    <xf numFmtId="0" fontId="35" fillId="0" borderId="11" xfId="0" applyFont="1" applyBorder="1" applyAlignment="1">
      <alignment horizontal="center"/>
    </xf>
    <xf numFmtId="0" fontId="37" fillId="0" borderId="11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/>
    </xf>
    <xf numFmtId="0" fontId="37" fillId="0" borderId="11" xfId="0" applyFont="1" applyBorder="1" applyAlignment="1">
      <alignment horizontal="center"/>
    </xf>
    <xf numFmtId="0" fontId="17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11" fillId="0" borderId="15" xfId="0" applyFont="1" applyBorder="1" applyAlignment="1">
      <alignment horizontal="center" vertical="center" textRotation="90" wrapText="1"/>
    </xf>
    <xf numFmtId="0" fontId="4" fillId="0" borderId="21" xfId="0" applyFont="1" applyBorder="1" applyAlignment="1">
      <alignment textRotation="90"/>
    </xf>
    <xf numFmtId="0" fontId="19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center"/>
    </xf>
    <xf numFmtId="0" fontId="25" fillId="0" borderId="11" xfId="0" applyFont="1" applyBorder="1" applyAlignment="1">
      <alignment horizontal="center" vertical="center" wrapText="1"/>
    </xf>
    <xf numFmtId="0" fontId="24" fillId="3" borderId="11" xfId="0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center" wrapText="1"/>
    </xf>
    <xf numFmtId="0" fontId="16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0" borderId="16" xfId="0" applyFont="1" applyBorder="1" applyAlignment="1">
      <alignment horizontal="center"/>
    </xf>
    <xf numFmtId="0" fontId="8" fillId="0" borderId="5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4" fillId="0" borderId="11" xfId="0" applyFont="1" applyBorder="1"/>
    <xf numFmtId="0" fontId="0" fillId="0" borderId="11" xfId="0" applyBorder="1"/>
    <xf numFmtId="0" fontId="32" fillId="0" borderId="11" xfId="0" applyFont="1" applyBorder="1" applyAlignment="1">
      <alignment horizontal="center" vertical="center" wrapText="1"/>
    </xf>
    <xf numFmtId="0" fontId="22" fillId="3" borderId="11" xfId="0" applyFont="1" applyFill="1" applyBorder="1" applyAlignment="1">
      <alignment horizontal="center"/>
    </xf>
    <xf numFmtId="164" fontId="30" fillId="0" borderId="11" xfId="0" applyNumberFormat="1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left"/>
    </xf>
    <xf numFmtId="0" fontId="18" fillId="0" borderId="4" xfId="0" applyFont="1" applyBorder="1" applyAlignment="1">
      <alignment horizontal="left"/>
    </xf>
    <xf numFmtId="0" fontId="17" fillId="0" borderId="9" xfId="0" applyFont="1" applyBorder="1" applyAlignment="1">
      <alignment horizontal="left"/>
    </xf>
    <xf numFmtId="0" fontId="18" fillId="0" borderId="0" xfId="0" applyFont="1" applyAlignment="1">
      <alignment horizontal="left"/>
    </xf>
    <xf numFmtId="0" fontId="23" fillId="3" borderId="11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5" fillId="0" borderId="9" xfId="0" applyFont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6" fillId="0" borderId="11" xfId="0" applyFont="1" applyBorder="1" applyAlignment="1">
      <alignment horizontal="left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 wrapText="1"/>
    </xf>
    <xf numFmtId="0" fontId="35" fillId="0" borderId="13" xfId="0" applyFont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19" xfId="0" applyFont="1" applyBorder="1" applyAlignment="1">
      <alignment horizontal="center" vertical="center" wrapText="1"/>
    </xf>
    <xf numFmtId="0" fontId="27" fillId="0" borderId="25" xfId="0" applyFont="1" applyBorder="1" applyAlignment="1">
      <alignment horizontal="center" vertical="center" wrapText="1"/>
    </xf>
    <xf numFmtId="0" fontId="27" fillId="0" borderId="26" xfId="0" applyFont="1" applyBorder="1" applyAlignment="1">
      <alignment horizontal="center" vertical="center" wrapText="1"/>
    </xf>
    <xf numFmtId="0" fontId="31" fillId="0" borderId="12" xfId="0" applyFont="1" applyBorder="1" applyAlignment="1">
      <alignment horizontal="center" vertical="top" wrapText="1"/>
    </xf>
    <xf numFmtId="0" fontId="31" fillId="0" borderId="13" xfId="0" applyFont="1" applyBorder="1" applyAlignment="1">
      <alignment horizontal="center" vertical="top" wrapText="1"/>
    </xf>
    <xf numFmtId="0" fontId="31" fillId="0" borderId="14" xfId="0" applyFont="1" applyBorder="1" applyAlignment="1">
      <alignment horizontal="center" vertical="top" wrapText="1"/>
    </xf>
    <xf numFmtId="0" fontId="11" fillId="0" borderId="21" xfId="0" applyFont="1" applyBorder="1" applyAlignment="1">
      <alignment horizontal="center" vertical="center" textRotation="90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14" xfId="0" applyFont="1" applyBorder="1" applyAlignment="1">
      <alignment horizontal="center" vertical="center" wrapText="1"/>
    </xf>
    <xf numFmtId="0" fontId="31" fillId="0" borderId="20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19" fillId="0" borderId="15" xfId="0" applyFont="1" applyBorder="1" applyAlignment="1">
      <alignment horizontal="center" vertical="center" textRotation="90" wrapText="1"/>
    </xf>
    <xf numFmtId="0" fontId="4" fillId="0" borderId="16" xfId="0" applyFont="1" applyBorder="1" applyAlignment="1">
      <alignment textRotation="90"/>
    </xf>
    <xf numFmtId="0" fontId="11" fillId="0" borderId="16" xfId="0" applyFont="1" applyBorder="1" applyAlignment="1">
      <alignment horizontal="center" vertical="center" textRotation="90" wrapText="1"/>
    </xf>
    <xf numFmtId="0" fontId="21" fillId="0" borderId="12" xfId="0" applyFont="1" applyBorder="1" applyAlignment="1">
      <alignment horizontal="center" vertical="top" wrapText="1"/>
    </xf>
    <xf numFmtId="0" fontId="21" fillId="0" borderId="13" xfId="0" applyFont="1" applyBorder="1" applyAlignment="1">
      <alignment horizontal="center" vertical="top" wrapText="1"/>
    </xf>
    <xf numFmtId="0" fontId="21" fillId="0" borderId="14" xfId="0" applyFont="1" applyBorder="1" applyAlignment="1">
      <alignment horizontal="center" vertical="top" wrapText="1"/>
    </xf>
    <xf numFmtId="0" fontId="0" fillId="0" borderId="22" xfId="0" applyBorder="1"/>
    <xf numFmtId="0" fontId="0" fillId="0" borderId="27" xfId="0" applyBorder="1"/>
    <xf numFmtId="0" fontId="0" fillId="0" borderId="23" xfId="0" applyBorder="1"/>
    <xf numFmtId="0" fontId="0" fillId="0" borderId="17" xfId="0" applyBorder="1"/>
    <xf numFmtId="0" fontId="0" fillId="0" borderId="0" xfId="0" applyBorder="1"/>
    <xf numFmtId="0" fontId="0" fillId="0" borderId="18" xfId="0" applyBorder="1"/>
    <xf numFmtId="0" fontId="0" fillId="0" borderId="19" xfId="0" applyBorder="1"/>
    <xf numFmtId="0" fontId="0" fillId="0" borderId="24" xfId="0" applyBorder="1"/>
    <xf numFmtId="0" fontId="0" fillId="0" borderId="20" xfId="0" applyBorder="1"/>
    <xf numFmtId="0" fontId="40" fillId="0" borderId="0" xfId="0" applyFont="1" applyAlignment="1">
      <alignment vertical="center" wrapText="1"/>
    </xf>
    <xf numFmtId="0" fontId="41" fillId="5" borderId="28" xfId="0" applyFont="1" applyFill="1" applyBorder="1" applyAlignment="1">
      <alignment horizontal="center" vertical="center" wrapText="1"/>
    </xf>
    <xf numFmtId="0" fontId="1" fillId="5" borderId="28" xfId="0" applyFont="1" applyFill="1" applyBorder="1" applyAlignment="1">
      <alignment horizontal="left" vertical="center" wrapText="1" indent="1"/>
    </xf>
    <xf numFmtId="0" fontId="39" fillId="0" borderId="0" xfId="0" applyFont="1" applyAlignment="1">
      <alignment vertical="center" wrapText="1"/>
    </xf>
    <xf numFmtId="0" fontId="42" fillId="0" borderId="0" xfId="0" applyFont="1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hyperlink" Target="https://github.com/wellifabio/senai2024/blob/main/iot/aula09/desafio.png" TargetMode="External"/><Relationship Id="rId1" Type="http://schemas.openxmlformats.org/officeDocument/2006/relationships/hyperlink" Target="https://github.com/wellifabio/senai2024/blob/main/iot/aula09/cruzamento.webp" TargetMode="External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0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85725</xdr:colOff>
      <xdr:row>18</xdr:row>
      <xdr:rowOff>38100</xdr:rowOff>
    </xdr:from>
    <xdr:to>
      <xdr:col>3</xdr:col>
      <xdr:colOff>2047875</xdr:colOff>
      <xdr:row>18</xdr:row>
      <xdr:rowOff>3057525</xdr:rowOff>
    </xdr:to>
    <xdr:pic>
      <xdr:nvPicPr>
        <xdr:cNvPr id="3" name="Imagem 2" descr="Planta">
          <a:extLst>
            <a:ext uri="{FF2B5EF4-FFF2-40B4-BE49-F238E27FC236}">
              <a16:creationId xmlns:a16="http://schemas.microsoft.com/office/drawing/2014/main" id="{7D52D1C2-AE0A-2BB8-0FB5-E31A75AD3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3306425"/>
          <a:ext cx="4914900" cy="3019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0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948A4DD5-6F66-4391-BEBA-5DE3A473172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47850" y="9525"/>
          <a:ext cx="1752600" cy="3429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85725</xdr:colOff>
      <xdr:row>17</xdr:row>
      <xdr:rowOff>38100</xdr:rowOff>
    </xdr:from>
    <xdr:to>
      <xdr:col>3</xdr:col>
      <xdr:colOff>2047875</xdr:colOff>
      <xdr:row>17</xdr:row>
      <xdr:rowOff>3057525</xdr:rowOff>
    </xdr:to>
    <xdr:pic>
      <xdr:nvPicPr>
        <xdr:cNvPr id="3" name="Imagem 2" descr="Planta">
          <a:extLst>
            <a:ext uri="{FF2B5EF4-FFF2-40B4-BE49-F238E27FC236}">
              <a16:creationId xmlns:a16="http://schemas.microsoft.com/office/drawing/2014/main" id="{BF7A96DE-96FA-42E3-890D-1ADAAECDD7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12058650"/>
          <a:ext cx="4914900" cy="3019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38100</xdr:rowOff>
    </xdr:from>
    <xdr:to>
      <xdr:col>8</xdr:col>
      <xdr:colOff>409575</xdr:colOff>
      <xdr:row>41</xdr:row>
      <xdr:rowOff>161925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B392655-1338-42BA-5A6B-D4EFDBAB97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5895975" cy="5915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3</xdr:row>
      <xdr:rowOff>304800</xdr:rowOff>
    </xdr:to>
    <xdr:sp macro="" textlink="">
      <xdr:nvSpPr>
        <xdr:cNvPr id="5121" name="AutoShape 1" descr="Cruzamento">
          <a:hlinkClick xmlns:r="http://schemas.openxmlformats.org/officeDocument/2006/relationships" r:id="rId1" tgtFrame="_blank"/>
          <a:extLst>
            <a:ext uri="{FF2B5EF4-FFF2-40B4-BE49-F238E27FC236}">
              <a16:creationId xmlns:a16="http://schemas.microsoft.com/office/drawing/2014/main" id="{9EE0EF19-2E0C-B8EB-9D1A-9D8A5024E830}"/>
            </a:ext>
          </a:extLst>
        </xdr:cNvPr>
        <xdr:cNvSpPr>
          <a:spLocks noChangeAspect="1" noChangeArrowheads="1"/>
        </xdr:cNvSpPr>
      </xdr:nvSpPr>
      <xdr:spPr bwMode="auto">
        <a:xfrm>
          <a:off x="0" y="640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5572125</xdr:colOff>
      <xdr:row>36</xdr:row>
      <xdr:rowOff>114300</xdr:rowOff>
    </xdr:to>
    <xdr:pic>
      <xdr:nvPicPr>
        <xdr:cNvPr id="2" name="Imagem 1" descr="desafio">
          <a:hlinkClick xmlns:r="http://schemas.openxmlformats.org/officeDocument/2006/relationships" r:id="rId2" tgtFrame="_blank"/>
          <a:extLst>
            <a:ext uri="{FF2B5EF4-FFF2-40B4-BE49-F238E27FC236}">
              <a16:creationId xmlns:a16="http://schemas.microsoft.com/office/drawing/2014/main" id="{B92019E2-5996-9ED2-C32A-B7163CE2D4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49175"/>
          <a:ext cx="5572125" cy="5400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36</xdr:row>
      <xdr:rowOff>0</xdr:rowOff>
    </xdr:from>
    <xdr:ext cx="304800" cy="304800"/>
    <xdr:sp macro="" textlink="">
      <xdr:nvSpPr>
        <xdr:cNvPr id="3" name="AutoShape 1" descr="Cruzamento">
          <a:hlinkClick xmlns:r="http://schemas.openxmlformats.org/officeDocument/2006/relationships" r:id="rId1" tgtFrame="_blank"/>
          <a:extLst>
            <a:ext uri="{FF2B5EF4-FFF2-40B4-BE49-F238E27FC236}">
              <a16:creationId xmlns:a16="http://schemas.microsoft.com/office/drawing/2014/main" id="{89B566D7-A09E-4429-AB71-34DC49A2865B}"/>
            </a:ext>
          </a:extLst>
        </xdr:cNvPr>
        <xdr:cNvSpPr>
          <a:spLocks noChangeAspect="1" noChangeArrowheads="1"/>
        </xdr:cNvSpPr>
      </xdr:nvSpPr>
      <xdr:spPr bwMode="auto">
        <a:xfrm>
          <a:off x="0" y="106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3</xdr:row>
      <xdr:rowOff>304800</xdr:rowOff>
    </xdr:to>
    <xdr:sp macro="" textlink="">
      <xdr:nvSpPr>
        <xdr:cNvPr id="5123" name="AutoShape 3" descr="Cruzamento">
          <a:extLst>
            <a:ext uri="{FF2B5EF4-FFF2-40B4-BE49-F238E27FC236}">
              <a16:creationId xmlns:a16="http://schemas.microsoft.com/office/drawing/2014/main" id="{40536D51-8271-5695-E3D6-7AF289F2322A}"/>
            </a:ext>
          </a:extLst>
        </xdr:cNvPr>
        <xdr:cNvSpPr>
          <a:spLocks noChangeAspect="1" noChangeArrowheads="1"/>
        </xdr:cNvSpPr>
      </xdr:nvSpPr>
      <xdr:spPr bwMode="auto">
        <a:xfrm>
          <a:off x="6867525" y="106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3</xdr:row>
      <xdr:rowOff>304800</xdr:rowOff>
    </xdr:to>
    <xdr:sp macro="" textlink="">
      <xdr:nvSpPr>
        <xdr:cNvPr id="5124" name="AutoShape 4" descr="Cruzamento">
          <a:extLst>
            <a:ext uri="{FF2B5EF4-FFF2-40B4-BE49-F238E27FC236}">
              <a16:creationId xmlns:a16="http://schemas.microsoft.com/office/drawing/2014/main" id="{AF276DB6-B171-99F5-90B8-5C327E0AC8FF}"/>
            </a:ext>
          </a:extLst>
        </xdr:cNvPr>
        <xdr:cNvSpPr>
          <a:spLocks noChangeAspect="1" noChangeArrowheads="1"/>
        </xdr:cNvSpPr>
      </xdr:nvSpPr>
      <xdr:spPr bwMode="auto">
        <a:xfrm>
          <a:off x="6867525" y="106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114300</xdr:colOff>
      <xdr:row>3</xdr:row>
      <xdr:rowOff>9525</xdr:rowOff>
    </xdr:from>
    <xdr:to>
      <xdr:col>0</xdr:col>
      <xdr:colOff>4563096</xdr:colOff>
      <xdr:row>3</xdr:row>
      <xdr:rowOff>3524741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B115F3A-9EB8-9CE5-7C06-E511532BA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300" y="1076325"/>
          <a:ext cx="4448796" cy="35152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90"/>
  <sheetViews>
    <sheetView tabSelected="1" zoomScaleNormal="100" workbookViewId="0">
      <selection activeCell="F10" sqref="F10"/>
    </sheetView>
  </sheetViews>
  <sheetFormatPr defaultColWidth="12.625" defaultRowHeight="15" customHeight="1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1" spans="1:27" ht="27.75" customHeight="1" x14ac:dyDescent="0.35">
      <c r="A1" s="106" t="s">
        <v>0</v>
      </c>
      <c r="B1" s="106"/>
      <c r="C1" s="106"/>
      <c r="D1" s="106"/>
      <c r="E1" s="106"/>
      <c r="F1" s="106"/>
      <c r="G1" s="106"/>
      <c r="H1" s="106"/>
      <c r="I1" s="106"/>
      <c r="J1" s="106"/>
    </row>
    <row r="2" spans="1:27" ht="15" customHeight="1" x14ac:dyDescent="0.25">
      <c r="A2" s="114" t="s">
        <v>2</v>
      </c>
      <c r="B2" s="115"/>
      <c r="C2" s="107" t="s">
        <v>39</v>
      </c>
      <c r="D2" s="108"/>
      <c r="E2" s="111" t="s">
        <v>42</v>
      </c>
      <c r="F2" s="112"/>
      <c r="G2" s="92" t="s">
        <v>24</v>
      </c>
      <c r="H2" s="92"/>
      <c r="I2" s="92" t="s">
        <v>25</v>
      </c>
      <c r="J2" s="92"/>
    </row>
    <row r="3" spans="1:27" ht="15" customHeight="1" x14ac:dyDescent="0.25">
      <c r="A3" s="114"/>
      <c r="B3" s="115"/>
      <c r="C3" s="109"/>
      <c r="D3" s="110"/>
      <c r="E3" s="113" t="s">
        <v>57</v>
      </c>
      <c r="F3" s="113"/>
      <c r="G3" s="90" t="s">
        <v>43</v>
      </c>
      <c r="H3" s="90"/>
      <c r="I3" s="91"/>
      <c r="J3" s="91"/>
    </row>
    <row r="4" spans="1:27" ht="15" customHeight="1" x14ac:dyDescent="0.25">
      <c r="A4" s="94" t="s">
        <v>3</v>
      </c>
      <c r="B4" s="95"/>
      <c r="C4" s="91" t="s">
        <v>56</v>
      </c>
      <c r="D4" s="91"/>
      <c r="E4" s="102" t="s">
        <v>58</v>
      </c>
      <c r="F4" s="103"/>
      <c r="G4" s="90" t="s">
        <v>26</v>
      </c>
      <c r="H4" s="90"/>
      <c r="I4" s="90"/>
      <c r="J4" s="90"/>
    </row>
    <row r="5" spans="1:27" ht="15" customHeight="1" x14ac:dyDescent="0.25">
      <c r="A5" s="95"/>
      <c r="B5" s="96"/>
      <c r="C5" s="91"/>
      <c r="D5" s="91"/>
      <c r="E5" s="104" t="s">
        <v>37</v>
      </c>
      <c r="F5" s="105"/>
      <c r="G5" s="91"/>
      <c r="H5" s="91"/>
      <c r="I5" s="91"/>
      <c r="J5" s="91"/>
    </row>
    <row r="6" spans="1:27" ht="15" customHeight="1" x14ac:dyDescent="0.2">
      <c r="A6" s="94" t="s">
        <v>23</v>
      </c>
      <c r="B6" s="95"/>
      <c r="C6" s="97" t="s">
        <v>55</v>
      </c>
      <c r="D6" s="97"/>
      <c r="E6" s="80" t="s">
        <v>59</v>
      </c>
      <c r="F6" s="81"/>
      <c r="G6" s="91"/>
      <c r="H6" s="91"/>
      <c r="I6" s="91"/>
      <c r="J6" s="91"/>
    </row>
    <row r="7" spans="1:27" ht="46.5" customHeight="1" x14ac:dyDescent="0.2">
      <c r="A7" s="95"/>
      <c r="B7" s="96"/>
      <c r="C7" s="97"/>
      <c r="D7" s="97"/>
      <c r="E7" s="82"/>
      <c r="F7" s="81"/>
      <c r="G7" s="91"/>
      <c r="H7" s="91"/>
      <c r="I7" s="91"/>
      <c r="J7" s="91"/>
    </row>
    <row r="8" spans="1:27" ht="26.25" customHeight="1" x14ac:dyDescent="0.25">
      <c r="A8" s="98" t="s">
        <v>32</v>
      </c>
      <c r="B8" s="98"/>
      <c r="C8" s="98"/>
      <c r="D8" s="98"/>
      <c r="E8" s="98"/>
      <c r="F8" s="98"/>
      <c r="G8" s="98"/>
      <c r="H8" s="98"/>
      <c r="I8" s="98"/>
      <c r="J8" s="98"/>
    </row>
    <row r="9" spans="1:27" ht="49.5" customHeight="1" x14ac:dyDescent="0.2">
      <c r="A9" s="25" t="s">
        <v>1</v>
      </c>
      <c r="B9" s="26" t="s">
        <v>5</v>
      </c>
      <c r="C9" s="26" t="s">
        <v>22</v>
      </c>
      <c r="D9" s="26" t="s">
        <v>4</v>
      </c>
      <c r="E9" s="26" t="s">
        <v>6</v>
      </c>
      <c r="F9" s="26" t="s">
        <v>7</v>
      </c>
      <c r="G9" s="99" t="s">
        <v>8</v>
      </c>
      <c r="H9" s="99"/>
      <c r="I9" s="99" t="s">
        <v>9</v>
      </c>
      <c r="J9" s="99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3" x14ac:dyDescent="0.2">
      <c r="A10" s="27" t="s">
        <v>44</v>
      </c>
      <c r="B10" s="23">
        <v>15</v>
      </c>
      <c r="C10" s="29" t="s">
        <v>60</v>
      </c>
      <c r="D10" s="30" t="s">
        <v>63</v>
      </c>
      <c r="E10" s="31" t="s">
        <v>70</v>
      </c>
      <c r="F10" s="24" t="s">
        <v>40</v>
      </c>
      <c r="G10" s="100" t="s">
        <v>66</v>
      </c>
      <c r="H10" s="101"/>
      <c r="I10" s="100" t="s">
        <v>72</v>
      </c>
      <c r="J10" s="10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0.25" x14ac:dyDescent="0.2">
      <c r="A11" s="28" t="s">
        <v>45</v>
      </c>
      <c r="B11" s="2">
        <v>20</v>
      </c>
      <c r="C11" s="32" t="s">
        <v>61</v>
      </c>
      <c r="D11" s="33" t="s">
        <v>64</v>
      </c>
      <c r="E11" s="31" t="s">
        <v>68</v>
      </c>
      <c r="F11" s="24" t="s">
        <v>40</v>
      </c>
      <c r="G11" s="100" t="s">
        <v>67</v>
      </c>
      <c r="H11" s="101"/>
      <c r="I11" s="40" t="s">
        <v>73</v>
      </c>
      <c r="J11" s="9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6.75" customHeight="1" x14ac:dyDescent="0.2">
      <c r="A12" s="28" t="s">
        <v>54</v>
      </c>
      <c r="B12" s="2">
        <v>15</v>
      </c>
      <c r="C12" s="32" t="s">
        <v>62</v>
      </c>
      <c r="D12" s="33" t="s">
        <v>65</v>
      </c>
      <c r="E12" s="31" t="s">
        <v>69</v>
      </c>
      <c r="F12" s="24" t="s">
        <v>40</v>
      </c>
      <c r="G12" s="40" t="s">
        <v>71</v>
      </c>
      <c r="H12" s="41"/>
      <c r="I12" s="122" t="s">
        <v>74</v>
      </c>
      <c r="J12" s="12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 customHeight="1" x14ac:dyDescent="0.2">
      <c r="A13" s="20" t="s">
        <v>35</v>
      </c>
      <c r="B13" s="34">
        <f>SUM(B7:B12)</f>
        <v>50</v>
      </c>
      <c r="C13" s="14"/>
      <c r="D13" s="14"/>
      <c r="E13" s="14"/>
      <c r="F13" s="15"/>
      <c r="G13" s="42"/>
      <c r="H13" s="43"/>
      <c r="I13" s="44"/>
      <c r="J13" s="45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4" customHeight="1" x14ac:dyDescent="0.2">
      <c r="A14" s="47" t="s">
        <v>46</v>
      </c>
      <c r="B14" s="48"/>
      <c r="C14" s="48"/>
      <c r="D14" s="48"/>
      <c r="E14" s="48"/>
      <c r="F14" s="48"/>
      <c r="G14" s="48"/>
      <c r="H14" s="48"/>
      <c r="I14" s="48"/>
      <c r="J14" s="49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8" customHeight="1" x14ac:dyDescent="0.2">
      <c r="A15" s="50" t="s">
        <v>28</v>
      </c>
      <c r="B15" s="50"/>
      <c r="C15" s="50"/>
      <c r="D15" s="50"/>
      <c r="E15" s="50"/>
      <c r="F15" s="50"/>
      <c r="G15" s="50"/>
      <c r="H15" s="50"/>
      <c r="I15" s="50"/>
      <c r="J15" s="50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63.75" customHeight="1" x14ac:dyDescent="0.2">
      <c r="A16" s="46" t="s">
        <v>80</v>
      </c>
      <c r="B16" s="46"/>
      <c r="C16" s="46"/>
      <c r="D16" s="46"/>
      <c r="E16" s="46"/>
      <c r="F16" s="46"/>
      <c r="G16" s="46"/>
      <c r="H16" s="46"/>
      <c r="I16" s="46"/>
      <c r="J16" s="46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8" customHeight="1" x14ac:dyDescent="0.2">
      <c r="A17" s="50" t="s">
        <v>29</v>
      </c>
      <c r="B17" s="50"/>
      <c r="C17" s="50"/>
      <c r="D17" s="50"/>
      <c r="E17" s="50"/>
      <c r="F17" s="50"/>
      <c r="G17" s="50"/>
      <c r="H17" s="50"/>
      <c r="I17" s="50"/>
      <c r="J17" s="50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35" customHeight="1" x14ac:dyDescent="0.2">
      <c r="A18" s="46" t="s">
        <v>81</v>
      </c>
      <c r="B18" s="46"/>
      <c r="C18" s="46"/>
      <c r="D18" s="46"/>
      <c r="E18" s="46"/>
      <c r="F18" s="46"/>
      <c r="G18" s="46"/>
      <c r="H18" s="46"/>
      <c r="I18" s="46"/>
      <c r="J18" s="46"/>
      <c r="L18" s="1"/>
      <c r="M18" s="1"/>
      <c r="O18" s="1"/>
      <c r="P18" s="1"/>
      <c r="Q18" s="1"/>
      <c r="R18" s="1"/>
      <c r="T18" s="1"/>
      <c r="U18" s="1"/>
      <c r="V18" s="1"/>
      <c r="W18" s="1"/>
      <c r="X18" s="1"/>
      <c r="Z18" s="1"/>
      <c r="AA18" s="1"/>
    </row>
    <row r="19" spans="1:27" ht="246.75" customHeight="1" x14ac:dyDescent="0.2">
      <c r="A19" s="124"/>
      <c r="B19" s="125"/>
      <c r="C19" s="125"/>
      <c r="D19" s="125"/>
      <c r="E19" s="125"/>
      <c r="F19" s="125"/>
      <c r="G19" s="125"/>
      <c r="H19" s="125"/>
      <c r="I19" s="125"/>
      <c r="J19" s="126"/>
      <c r="L19" s="1"/>
      <c r="M19" s="1"/>
      <c r="O19" s="1"/>
      <c r="P19" s="1"/>
      <c r="Q19" s="1"/>
      <c r="R19" s="1"/>
      <c r="T19" s="1"/>
      <c r="U19" s="1"/>
      <c r="V19" s="1"/>
      <c r="W19" s="1"/>
      <c r="X19" s="1"/>
      <c r="Z19" s="1"/>
      <c r="AA19" s="1"/>
    </row>
    <row r="20" spans="1:27" ht="98.25" customHeight="1" x14ac:dyDescent="0.2">
      <c r="A20" s="46" t="s">
        <v>82</v>
      </c>
      <c r="B20" s="46"/>
      <c r="C20" s="46"/>
      <c r="D20" s="46"/>
      <c r="E20" s="46"/>
      <c r="F20" s="46"/>
      <c r="G20" s="46"/>
      <c r="H20" s="46"/>
      <c r="I20" s="46"/>
      <c r="J20" s="46"/>
      <c r="L20" s="1"/>
      <c r="M20" s="1"/>
      <c r="O20" s="1"/>
      <c r="P20" s="1"/>
      <c r="Q20" s="1"/>
      <c r="R20" s="1"/>
      <c r="T20" s="1"/>
      <c r="U20" s="1"/>
      <c r="V20" s="1"/>
      <c r="W20" s="1"/>
      <c r="X20" s="1"/>
      <c r="Z20" s="1"/>
      <c r="AA20" s="1"/>
    </row>
    <row r="21" spans="1:27" ht="18" x14ac:dyDescent="0.2">
      <c r="A21" s="50" t="s">
        <v>30</v>
      </c>
      <c r="B21" s="50"/>
      <c r="C21" s="50"/>
      <c r="D21" s="50"/>
      <c r="E21" s="50"/>
      <c r="F21" s="50"/>
      <c r="G21" s="50"/>
      <c r="H21" s="50"/>
      <c r="I21" s="50"/>
      <c r="J21" s="50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.25" x14ac:dyDescent="0.2">
      <c r="A22" s="46" t="s">
        <v>83</v>
      </c>
      <c r="B22" s="46"/>
      <c r="C22" s="46"/>
      <c r="D22" s="46"/>
      <c r="E22" s="46"/>
      <c r="F22" s="46"/>
      <c r="G22" s="46"/>
      <c r="H22" s="46"/>
      <c r="I22" s="46"/>
      <c r="J22" s="46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22.5" customHeight="1" x14ac:dyDescent="0.2">
      <c r="A23" s="88" t="s">
        <v>31</v>
      </c>
      <c r="B23" s="88"/>
      <c r="C23" s="88"/>
      <c r="D23" s="88"/>
      <c r="E23" s="88"/>
      <c r="F23" s="88"/>
      <c r="G23" s="88"/>
      <c r="H23" s="88"/>
      <c r="I23" s="88"/>
      <c r="J23" s="88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2.75" customHeight="1" x14ac:dyDescent="0.25">
      <c r="A24" s="85" t="s">
        <v>33</v>
      </c>
      <c r="B24" s="86"/>
      <c r="C24" s="86"/>
      <c r="D24" s="87" t="s">
        <v>10</v>
      </c>
      <c r="E24" s="87"/>
      <c r="F24" s="87"/>
      <c r="G24" s="58" t="s">
        <v>34</v>
      </c>
      <c r="H24" s="89"/>
      <c r="I24" s="89"/>
      <c r="J24" s="8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39.75" customHeight="1" x14ac:dyDescent="0.2">
      <c r="A25" s="86"/>
      <c r="B25" s="86"/>
      <c r="C25" s="86"/>
      <c r="D25" s="87"/>
      <c r="E25" s="87"/>
      <c r="F25" s="87"/>
      <c r="G25" s="21">
        <v>1</v>
      </c>
      <c r="H25" s="21">
        <v>2</v>
      </c>
      <c r="I25" s="22">
        <v>3</v>
      </c>
      <c r="J25" s="22">
        <v>4</v>
      </c>
      <c r="K25" s="5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43.5" customHeight="1" x14ac:dyDescent="0.2">
      <c r="A26" s="83" t="s">
        <v>11</v>
      </c>
      <c r="B26" s="119" t="s">
        <v>60</v>
      </c>
      <c r="C26" s="120"/>
      <c r="D26" s="77" t="s">
        <v>88</v>
      </c>
      <c r="E26" s="75"/>
      <c r="F26" s="76"/>
      <c r="G26" s="7"/>
      <c r="H26" s="18"/>
      <c r="I26" s="19"/>
      <c r="J26" s="1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3.5" customHeight="1" x14ac:dyDescent="0.2">
      <c r="A27" s="127"/>
      <c r="B27" s="121"/>
      <c r="C27" s="131"/>
      <c r="D27" s="116" t="s">
        <v>89</v>
      </c>
      <c r="E27" s="117"/>
      <c r="F27" s="118"/>
      <c r="G27" s="7"/>
      <c r="H27" s="18"/>
      <c r="I27" s="19"/>
      <c r="J27" s="19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43.5" customHeight="1" x14ac:dyDescent="0.2">
      <c r="A28" s="127"/>
      <c r="B28" s="119" t="s">
        <v>61</v>
      </c>
      <c r="C28" s="120"/>
      <c r="D28" s="128" t="s">
        <v>90</v>
      </c>
      <c r="E28" s="129"/>
      <c r="F28" s="130"/>
      <c r="G28" s="7"/>
      <c r="H28" s="18"/>
      <c r="I28" s="19"/>
      <c r="J28" s="1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43.5" customHeight="1" x14ac:dyDescent="0.2">
      <c r="A29" s="127"/>
      <c r="B29" s="121"/>
      <c r="C29" s="131"/>
      <c r="D29" s="116" t="s">
        <v>91</v>
      </c>
      <c r="E29" s="117"/>
      <c r="F29" s="118"/>
      <c r="G29" s="7"/>
      <c r="H29" s="18"/>
      <c r="I29" s="19"/>
      <c r="J29" s="1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46.5" customHeight="1" x14ac:dyDescent="0.2">
      <c r="A30" s="127"/>
      <c r="B30" s="119" t="s">
        <v>62</v>
      </c>
      <c r="C30" s="120"/>
      <c r="D30" s="77" t="s">
        <v>92</v>
      </c>
      <c r="E30" s="75"/>
      <c r="F30" s="76"/>
      <c r="G30" s="7"/>
      <c r="H30" s="18"/>
      <c r="I30" s="14"/>
      <c r="J30" s="14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46.5" customHeight="1" x14ac:dyDescent="0.2">
      <c r="A31" s="135"/>
      <c r="B31" s="121"/>
      <c r="C31" s="131"/>
      <c r="D31" s="116" t="s">
        <v>93</v>
      </c>
      <c r="E31" s="117"/>
      <c r="F31" s="118"/>
      <c r="G31" s="7"/>
      <c r="H31" s="18"/>
      <c r="I31" s="14"/>
      <c r="J31" s="14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42.75" customHeight="1" x14ac:dyDescent="0.2">
      <c r="A32" s="133" t="s">
        <v>27</v>
      </c>
      <c r="B32" s="72" t="s">
        <v>84</v>
      </c>
      <c r="C32" s="73"/>
      <c r="D32" s="77" t="s">
        <v>94</v>
      </c>
      <c r="E32" s="78"/>
      <c r="F32" s="79"/>
      <c r="G32" s="7"/>
      <c r="H32" s="18"/>
      <c r="I32" s="14"/>
      <c r="J32" s="14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42.75" customHeight="1" x14ac:dyDescent="0.2">
      <c r="A33" s="84"/>
      <c r="B33" s="72" t="s">
        <v>41</v>
      </c>
      <c r="C33" s="73"/>
      <c r="D33" s="74" t="s">
        <v>95</v>
      </c>
      <c r="E33" s="75"/>
      <c r="F33" s="76"/>
      <c r="G33" s="7"/>
      <c r="H33" s="18"/>
      <c r="I33" s="14"/>
      <c r="J33" s="14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42.75" customHeight="1" x14ac:dyDescent="0.2">
      <c r="A34" s="84"/>
      <c r="B34" s="72" t="s">
        <v>38</v>
      </c>
      <c r="C34" s="73"/>
      <c r="D34" s="74" t="s">
        <v>96</v>
      </c>
      <c r="E34" s="75"/>
      <c r="F34" s="76"/>
      <c r="G34" s="7"/>
      <c r="H34" s="18"/>
      <c r="I34" s="14"/>
      <c r="J34" s="14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42.75" customHeight="1" x14ac:dyDescent="0.2">
      <c r="A35" s="134"/>
      <c r="B35" s="72" t="s">
        <v>53</v>
      </c>
      <c r="C35" s="73"/>
      <c r="D35" s="74" t="s">
        <v>97</v>
      </c>
      <c r="E35" s="75"/>
      <c r="F35" s="76"/>
      <c r="G35" s="7"/>
      <c r="H35" s="18"/>
      <c r="I35" s="14"/>
      <c r="J35" s="14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2.75" customHeight="1" x14ac:dyDescent="0.25">
      <c r="A36" s="132"/>
      <c r="B36" s="71"/>
      <c r="C36" s="71"/>
      <c r="D36" s="71"/>
      <c r="E36" s="71"/>
      <c r="F36" s="71"/>
      <c r="G36" s="71"/>
      <c r="H36" s="7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2.75" customHeight="1" x14ac:dyDescent="0.25">
      <c r="A37" s="67" t="s">
        <v>12</v>
      </c>
      <c r="B37" s="68"/>
      <c r="C37" s="68"/>
      <c r="D37" s="68"/>
      <c r="E37" s="69"/>
      <c r="F37" s="70" t="s">
        <v>13</v>
      </c>
      <c r="G37" s="68"/>
      <c r="H37" s="69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2.75" customHeight="1" x14ac:dyDescent="0.25">
      <c r="A38" s="8">
        <v>8</v>
      </c>
      <c r="B38" s="52" t="s">
        <v>14</v>
      </c>
      <c r="C38" s="53"/>
      <c r="D38" s="53"/>
      <c r="E38" s="54"/>
      <c r="F38" s="55">
        <v>100</v>
      </c>
      <c r="G38" s="53"/>
      <c r="H38" s="5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2.75" customHeight="1" x14ac:dyDescent="0.25">
      <c r="A39" s="8">
        <v>7</v>
      </c>
      <c r="B39" s="63" t="s">
        <v>98</v>
      </c>
      <c r="C39" s="64"/>
      <c r="D39" s="64"/>
      <c r="E39" s="65"/>
      <c r="F39" s="55">
        <v>95</v>
      </c>
      <c r="G39" s="53"/>
      <c r="H39" s="5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2.75" customHeight="1" x14ac:dyDescent="0.25">
      <c r="A40" s="8">
        <v>6</v>
      </c>
      <c r="B40" s="63" t="s">
        <v>52</v>
      </c>
      <c r="C40" s="64"/>
      <c r="D40" s="64"/>
      <c r="E40" s="65"/>
      <c r="F40" s="55">
        <v>90</v>
      </c>
      <c r="G40" s="53"/>
      <c r="H40" s="54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2.75" customHeight="1" x14ac:dyDescent="0.25">
      <c r="A41" s="8">
        <v>5</v>
      </c>
      <c r="B41" s="66" t="s">
        <v>49</v>
      </c>
      <c r="C41" s="53"/>
      <c r="D41" s="53"/>
      <c r="E41" s="54"/>
      <c r="F41" s="55">
        <v>80</v>
      </c>
      <c r="G41" s="53"/>
      <c r="H41" s="54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2.75" customHeight="1" x14ac:dyDescent="0.25">
      <c r="A42" s="8">
        <v>4</v>
      </c>
      <c r="B42" s="66" t="s">
        <v>50</v>
      </c>
      <c r="C42" s="53"/>
      <c r="D42" s="53"/>
      <c r="E42" s="54"/>
      <c r="F42" s="55">
        <v>70</v>
      </c>
      <c r="G42" s="53"/>
      <c r="H42" s="54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2.75" customHeight="1" x14ac:dyDescent="0.25">
      <c r="A43" s="8">
        <v>3</v>
      </c>
      <c r="B43" s="66" t="s">
        <v>51</v>
      </c>
      <c r="C43" s="53"/>
      <c r="D43" s="53"/>
      <c r="E43" s="54"/>
      <c r="F43" s="55">
        <v>60</v>
      </c>
      <c r="G43" s="53"/>
      <c r="H43" s="5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 customHeight="1" x14ac:dyDescent="0.25">
      <c r="A44" s="8">
        <v>2</v>
      </c>
      <c r="B44" s="62" t="s">
        <v>15</v>
      </c>
      <c r="C44" s="53"/>
      <c r="D44" s="53"/>
      <c r="E44" s="54"/>
      <c r="F44" s="55">
        <v>50</v>
      </c>
      <c r="G44" s="53"/>
      <c r="H44" s="5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 customHeight="1" x14ac:dyDescent="0.25">
      <c r="A45" s="8">
        <v>1</v>
      </c>
      <c r="B45" s="52" t="s">
        <v>16</v>
      </c>
      <c r="C45" s="53"/>
      <c r="D45" s="53"/>
      <c r="E45" s="54"/>
      <c r="F45" s="55">
        <v>30</v>
      </c>
      <c r="G45" s="53"/>
      <c r="H45" s="54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customHeight="1" x14ac:dyDescent="0.2">
      <c r="A46" s="9"/>
      <c r="B46" s="9"/>
      <c r="C46" s="9"/>
      <c r="D46" s="10"/>
      <c r="E46" s="10"/>
      <c r="F46" s="11"/>
      <c r="G46" s="12"/>
      <c r="H46" s="1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5">
      <c r="A47" s="12"/>
      <c r="B47" s="12"/>
      <c r="C47" s="13"/>
      <c r="D47" s="16" t="s">
        <v>17</v>
      </c>
      <c r="E47" s="16" t="s">
        <v>18</v>
      </c>
      <c r="F47" s="16" t="s">
        <v>19</v>
      </c>
      <c r="G47" s="12"/>
      <c r="H47" s="1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5">
      <c r="A48" s="12"/>
      <c r="B48" s="12"/>
      <c r="C48" s="12"/>
      <c r="D48" s="17" t="s">
        <v>20</v>
      </c>
      <c r="E48" s="56">
        <v>1</v>
      </c>
      <c r="F48" s="56">
        <v>0</v>
      </c>
      <c r="G48" s="58" t="s">
        <v>47</v>
      </c>
      <c r="H48" s="60" t="s">
        <v>48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5">
      <c r="A49" s="12"/>
      <c r="B49" s="12"/>
      <c r="C49" s="12"/>
      <c r="D49" s="38" t="s">
        <v>21</v>
      </c>
      <c r="E49" s="57"/>
      <c r="F49" s="57"/>
      <c r="G49" s="59"/>
      <c r="H49" s="6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25.5" customHeight="1" x14ac:dyDescent="0.2">
      <c r="A50" s="51" t="s">
        <v>36</v>
      </c>
      <c r="B50" s="51"/>
      <c r="C50" s="51"/>
      <c r="D50" s="51"/>
      <c r="E50" s="51"/>
      <c r="F50" s="51"/>
      <c r="G50" s="51"/>
      <c r="H50" s="51"/>
      <c r="I50" s="51"/>
      <c r="J50" s="5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2">
      <c r="A51" s="1"/>
      <c r="B51" s="1"/>
      <c r="C51" s="1"/>
      <c r="D51" s="1"/>
      <c r="E51" s="1"/>
      <c r="F51" s="4"/>
      <c r="G51" s="5"/>
      <c r="H51" s="4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2">
      <c r="A52" s="1"/>
      <c r="B52" s="1"/>
      <c r="C52" s="1"/>
      <c r="D52" s="1"/>
      <c r="E52" s="1"/>
      <c r="F52" s="4"/>
      <c r="G52" s="5"/>
      <c r="H52" s="4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2">
      <c r="A53" s="1"/>
      <c r="B53" s="1"/>
      <c r="C53" s="1"/>
      <c r="D53" s="1"/>
      <c r="E53" s="1"/>
      <c r="F53" s="4"/>
      <c r="G53" s="5"/>
      <c r="H53" s="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">
      <c r="A54" s="1"/>
      <c r="B54" s="1"/>
      <c r="C54" s="1"/>
      <c r="D54" s="1"/>
      <c r="E54" s="1"/>
      <c r="F54" s="4"/>
      <c r="G54" s="5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2">
      <c r="A55" s="1"/>
      <c r="B55" s="1"/>
      <c r="C55" s="1"/>
      <c r="D55" s="1"/>
      <c r="E55" s="1"/>
      <c r="F55" s="4"/>
      <c r="G55" s="5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2">
      <c r="A56" s="1"/>
      <c r="B56" s="1"/>
      <c r="C56" s="1"/>
      <c r="D56" s="1"/>
      <c r="E56" s="1"/>
      <c r="F56" s="4"/>
      <c r="G56" s="5"/>
      <c r="H56" s="4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2">
      <c r="A57" s="1"/>
      <c r="B57" s="1"/>
      <c r="C57" s="1"/>
      <c r="D57" s="1"/>
      <c r="E57" s="1"/>
      <c r="F57" s="4"/>
      <c r="G57" s="5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5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5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5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5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5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5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5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</sheetData>
  <mergeCells count="85">
    <mergeCell ref="E48:E49"/>
    <mergeCell ref="F48:F49"/>
    <mergeCell ref="G48:G49"/>
    <mergeCell ref="H48:H49"/>
    <mergeCell ref="A50:J50"/>
    <mergeCell ref="B43:E43"/>
    <mergeCell ref="F43:H43"/>
    <mergeCell ref="B44:E44"/>
    <mergeCell ref="F44:H44"/>
    <mergeCell ref="B45:E45"/>
    <mergeCell ref="F45:H45"/>
    <mergeCell ref="F39:H39"/>
    <mergeCell ref="B40:E40"/>
    <mergeCell ref="B41:E41"/>
    <mergeCell ref="F41:H41"/>
    <mergeCell ref="B42:E42"/>
    <mergeCell ref="F42:H42"/>
    <mergeCell ref="A23:J23"/>
    <mergeCell ref="A24:C25"/>
    <mergeCell ref="D24:F25"/>
    <mergeCell ref="G24:J24"/>
    <mergeCell ref="D26:F26"/>
    <mergeCell ref="B30:C31"/>
    <mergeCell ref="B28:C29"/>
    <mergeCell ref="B26:C27"/>
    <mergeCell ref="A26:A31"/>
    <mergeCell ref="D27:F27"/>
    <mergeCell ref="D29:F29"/>
    <mergeCell ref="D31:F31"/>
    <mergeCell ref="D28:F28"/>
    <mergeCell ref="D30:F30"/>
    <mergeCell ref="A1:J1"/>
    <mergeCell ref="G2:H2"/>
    <mergeCell ref="C2:D3"/>
    <mergeCell ref="I3:J3"/>
    <mergeCell ref="E2:F2"/>
    <mergeCell ref="E3:F3"/>
    <mergeCell ref="A2:B3"/>
    <mergeCell ref="G3:H3"/>
    <mergeCell ref="G4:J4"/>
    <mergeCell ref="G5:J7"/>
    <mergeCell ref="I2:J2"/>
    <mergeCell ref="I11:J11"/>
    <mergeCell ref="A6:B7"/>
    <mergeCell ref="C4:D5"/>
    <mergeCell ref="C6:D7"/>
    <mergeCell ref="A4:B5"/>
    <mergeCell ref="A8:J8"/>
    <mergeCell ref="I9:J9"/>
    <mergeCell ref="I10:J10"/>
    <mergeCell ref="G9:H9"/>
    <mergeCell ref="G10:H10"/>
    <mergeCell ref="G11:H11"/>
    <mergeCell ref="E4:F4"/>
    <mergeCell ref="E5:F5"/>
    <mergeCell ref="E6:F7"/>
    <mergeCell ref="A22:J22"/>
    <mergeCell ref="A19:J19"/>
    <mergeCell ref="A20:J20"/>
    <mergeCell ref="F40:H40"/>
    <mergeCell ref="A37:E37"/>
    <mergeCell ref="F37:H37"/>
    <mergeCell ref="A36:H36"/>
    <mergeCell ref="B34:C34"/>
    <mergeCell ref="D34:F34"/>
    <mergeCell ref="A32:A35"/>
    <mergeCell ref="B32:C32"/>
    <mergeCell ref="D32:F32"/>
    <mergeCell ref="B33:C33"/>
    <mergeCell ref="D33:F33"/>
    <mergeCell ref="B35:C35"/>
    <mergeCell ref="D35:F35"/>
    <mergeCell ref="B38:E38"/>
    <mergeCell ref="F38:H38"/>
    <mergeCell ref="B39:E39"/>
    <mergeCell ref="A21:J21"/>
    <mergeCell ref="A16:J16"/>
    <mergeCell ref="G12:H12"/>
    <mergeCell ref="I12:J12"/>
    <mergeCell ref="G13:H13"/>
    <mergeCell ref="I13:J13"/>
    <mergeCell ref="A18:J18"/>
    <mergeCell ref="A14:J14"/>
    <mergeCell ref="A15:J15"/>
    <mergeCell ref="A17:J17"/>
  </mergeCells>
  <phoneticPr fontId="33" type="noConversion"/>
  <printOptions horizontalCentered="1"/>
  <pageMargins left="0.51181102362204722" right="0.51181102362204722" top="0.78740157480314965" bottom="0.78740157480314965" header="0" footer="0"/>
  <pageSetup paperSize="9" scale="83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F9FA9-0AF4-406E-8B83-BFB1363D6C9B}">
  <sheetPr>
    <pageSetUpPr fitToPage="1"/>
  </sheetPr>
  <dimension ref="A1:AA948"/>
  <sheetViews>
    <sheetView zoomScaleNormal="100" workbookViewId="0">
      <selection activeCell="A18" sqref="A18:J18"/>
    </sheetView>
  </sheetViews>
  <sheetFormatPr defaultColWidth="12.625" defaultRowHeight="15" customHeight="1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1" spans="1:27" ht="27.75" customHeight="1" x14ac:dyDescent="0.35">
      <c r="A1" s="106" t="s">
        <v>0</v>
      </c>
      <c r="B1" s="106"/>
      <c r="C1" s="106"/>
      <c r="D1" s="106"/>
      <c r="E1" s="106"/>
      <c r="F1" s="106"/>
      <c r="G1" s="106"/>
      <c r="H1" s="106"/>
      <c r="I1" s="106"/>
      <c r="J1" s="106"/>
    </row>
    <row r="2" spans="1:27" ht="15" customHeight="1" x14ac:dyDescent="0.25">
      <c r="A2" s="114" t="s">
        <v>2</v>
      </c>
      <c r="B2" s="115"/>
      <c r="C2" s="107" t="s">
        <v>39</v>
      </c>
      <c r="D2" s="108"/>
      <c r="E2" s="111" t="s">
        <v>42</v>
      </c>
      <c r="F2" s="112"/>
      <c r="G2" s="92" t="s">
        <v>24</v>
      </c>
      <c r="H2" s="92"/>
      <c r="I2" s="92" t="s">
        <v>25</v>
      </c>
      <c r="J2" s="92"/>
    </row>
    <row r="3" spans="1:27" ht="15" customHeight="1" x14ac:dyDescent="0.25">
      <c r="A3" s="114"/>
      <c r="B3" s="115"/>
      <c r="C3" s="109"/>
      <c r="D3" s="110"/>
      <c r="E3" s="113" t="s">
        <v>57</v>
      </c>
      <c r="F3" s="113"/>
      <c r="G3" s="90" t="s">
        <v>43</v>
      </c>
      <c r="H3" s="90"/>
      <c r="I3" s="91"/>
      <c r="J3" s="91"/>
    </row>
    <row r="4" spans="1:27" ht="15" customHeight="1" x14ac:dyDescent="0.25">
      <c r="A4" s="94" t="s">
        <v>3</v>
      </c>
      <c r="B4" s="95"/>
      <c r="C4" s="91" t="s">
        <v>56</v>
      </c>
      <c r="D4" s="91"/>
      <c r="E4" s="102" t="s">
        <v>58</v>
      </c>
      <c r="F4" s="103"/>
      <c r="G4" s="90" t="s">
        <v>26</v>
      </c>
      <c r="H4" s="90"/>
      <c r="I4" s="90"/>
      <c r="J4" s="90"/>
    </row>
    <row r="5" spans="1:27" ht="15" customHeight="1" x14ac:dyDescent="0.25">
      <c r="A5" s="95"/>
      <c r="B5" s="96"/>
      <c r="C5" s="91"/>
      <c r="D5" s="91"/>
      <c r="E5" s="104" t="s">
        <v>37</v>
      </c>
      <c r="F5" s="105"/>
      <c r="G5" s="91"/>
      <c r="H5" s="91"/>
      <c r="I5" s="91"/>
      <c r="J5" s="91"/>
    </row>
    <row r="6" spans="1:27" ht="15" customHeight="1" x14ac:dyDescent="0.2">
      <c r="A6" s="94" t="s">
        <v>23</v>
      </c>
      <c r="B6" s="95"/>
      <c r="C6" s="97" t="s">
        <v>55</v>
      </c>
      <c r="D6" s="97"/>
      <c r="E6" s="80" t="s">
        <v>59</v>
      </c>
      <c r="F6" s="81"/>
      <c r="G6" s="91"/>
      <c r="H6" s="91"/>
      <c r="I6" s="91"/>
      <c r="J6" s="91"/>
    </row>
    <row r="7" spans="1:27" ht="46.5" customHeight="1" x14ac:dyDescent="0.2">
      <c r="A7" s="95"/>
      <c r="B7" s="96"/>
      <c r="C7" s="97"/>
      <c r="D7" s="97"/>
      <c r="E7" s="82"/>
      <c r="F7" s="81"/>
      <c r="G7" s="91"/>
      <c r="H7" s="91"/>
      <c r="I7" s="91"/>
      <c r="J7" s="91"/>
    </row>
    <row r="8" spans="1:27" ht="26.25" customHeight="1" x14ac:dyDescent="0.25">
      <c r="A8" s="98" t="s">
        <v>32</v>
      </c>
      <c r="B8" s="98"/>
      <c r="C8" s="98"/>
      <c r="D8" s="98"/>
      <c r="E8" s="98"/>
      <c r="F8" s="98"/>
      <c r="G8" s="98"/>
      <c r="H8" s="98"/>
      <c r="I8" s="98"/>
      <c r="J8" s="98"/>
    </row>
    <row r="9" spans="1:27" ht="49.5" customHeight="1" x14ac:dyDescent="0.2">
      <c r="A9" s="25" t="s">
        <v>1</v>
      </c>
      <c r="B9" s="36" t="s">
        <v>5</v>
      </c>
      <c r="C9" s="36" t="s">
        <v>22</v>
      </c>
      <c r="D9" s="36" t="s">
        <v>4</v>
      </c>
      <c r="E9" s="36" t="s">
        <v>6</v>
      </c>
      <c r="F9" s="36" t="s">
        <v>7</v>
      </c>
      <c r="G9" s="99" t="s">
        <v>8</v>
      </c>
      <c r="H9" s="99"/>
      <c r="I9" s="99" t="s">
        <v>9</v>
      </c>
      <c r="J9" s="99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36.5" customHeight="1" x14ac:dyDescent="0.2">
      <c r="A10" s="27" t="s">
        <v>102</v>
      </c>
      <c r="B10" s="37">
        <v>20</v>
      </c>
      <c r="C10" s="29" t="s">
        <v>99</v>
      </c>
      <c r="D10" s="30" t="s">
        <v>101</v>
      </c>
      <c r="E10" s="31" t="s">
        <v>105</v>
      </c>
      <c r="F10" s="24" t="s">
        <v>40</v>
      </c>
      <c r="G10" s="100" t="s">
        <v>109</v>
      </c>
      <c r="H10" s="101"/>
      <c r="I10" s="100" t="s">
        <v>107</v>
      </c>
      <c r="J10" s="10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17" customHeight="1" x14ac:dyDescent="0.2">
      <c r="A11" s="28" t="s">
        <v>103</v>
      </c>
      <c r="B11" s="35">
        <v>20</v>
      </c>
      <c r="C11" s="39" t="s">
        <v>100</v>
      </c>
      <c r="D11" s="33" t="s">
        <v>108</v>
      </c>
      <c r="E11" s="31" t="s">
        <v>104</v>
      </c>
      <c r="F11" s="24" t="s">
        <v>40</v>
      </c>
      <c r="G11" s="100" t="s">
        <v>110</v>
      </c>
      <c r="H11" s="101"/>
      <c r="I11" s="40" t="s">
        <v>106</v>
      </c>
      <c r="J11" s="9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2.75" customHeight="1" x14ac:dyDescent="0.2">
      <c r="A12" s="20" t="s">
        <v>35</v>
      </c>
      <c r="B12" s="34">
        <f>SUM(B7:B11)</f>
        <v>40</v>
      </c>
      <c r="C12" s="14"/>
      <c r="D12" s="14"/>
      <c r="E12" s="14"/>
      <c r="F12" s="15"/>
      <c r="G12" s="42"/>
      <c r="H12" s="43"/>
      <c r="I12" s="44"/>
      <c r="J12" s="45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24" customHeight="1" x14ac:dyDescent="0.2">
      <c r="A13" s="47" t="s">
        <v>46</v>
      </c>
      <c r="B13" s="48"/>
      <c r="C13" s="48"/>
      <c r="D13" s="48"/>
      <c r="E13" s="48"/>
      <c r="F13" s="48"/>
      <c r="G13" s="48"/>
      <c r="H13" s="48"/>
      <c r="I13" s="48"/>
      <c r="J13" s="49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8" customHeight="1" x14ac:dyDescent="0.2">
      <c r="A14" s="50" t="s">
        <v>28</v>
      </c>
      <c r="B14" s="50"/>
      <c r="C14" s="50"/>
      <c r="D14" s="50"/>
      <c r="E14" s="50"/>
      <c r="F14" s="50"/>
      <c r="G14" s="50"/>
      <c r="H14" s="50"/>
      <c r="I14" s="50"/>
      <c r="J14" s="50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63.75" customHeight="1" x14ac:dyDescent="0.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8" customHeight="1" x14ac:dyDescent="0.2">
      <c r="A16" s="50" t="s">
        <v>29</v>
      </c>
      <c r="B16" s="50"/>
      <c r="C16" s="50"/>
      <c r="D16" s="50"/>
      <c r="E16" s="50"/>
      <c r="F16" s="50"/>
      <c r="G16" s="50"/>
      <c r="H16" s="50"/>
      <c r="I16" s="50"/>
      <c r="J16" s="50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35" customHeight="1" x14ac:dyDescent="0.2">
      <c r="A17" s="46"/>
      <c r="B17" s="46"/>
      <c r="C17" s="46"/>
      <c r="D17" s="46"/>
      <c r="E17" s="46"/>
      <c r="F17" s="46"/>
      <c r="G17" s="46"/>
      <c r="H17" s="46"/>
      <c r="I17" s="46"/>
      <c r="J17" s="46"/>
      <c r="L17" s="1"/>
      <c r="M17" s="1"/>
      <c r="O17" s="1"/>
      <c r="P17" s="1"/>
      <c r="Q17" s="1"/>
      <c r="R17" s="1"/>
      <c r="T17" s="1"/>
      <c r="U17" s="1"/>
      <c r="V17" s="1"/>
      <c r="W17" s="1"/>
      <c r="X17" s="1"/>
      <c r="Z17" s="1"/>
      <c r="AA17" s="1"/>
    </row>
    <row r="18" spans="1:27" ht="246.75" customHeight="1" x14ac:dyDescent="0.2">
      <c r="A18" s="124"/>
      <c r="B18" s="125"/>
      <c r="C18" s="125"/>
      <c r="D18" s="125"/>
      <c r="E18" s="125"/>
      <c r="F18" s="125"/>
      <c r="G18" s="125"/>
      <c r="H18" s="125"/>
      <c r="I18" s="125"/>
      <c r="J18" s="126"/>
      <c r="L18" s="1"/>
      <c r="M18" s="1"/>
      <c r="O18" s="1"/>
      <c r="P18" s="1"/>
      <c r="Q18" s="1"/>
      <c r="R18" s="1"/>
      <c r="T18" s="1"/>
      <c r="U18" s="1"/>
      <c r="V18" s="1"/>
      <c r="W18" s="1"/>
      <c r="X18" s="1"/>
      <c r="Z18" s="1"/>
      <c r="AA18" s="1"/>
    </row>
    <row r="19" spans="1:27" ht="101.25" customHeight="1" x14ac:dyDescent="0.2">
      <c r="A19" s="46"/>
      <c r="B19" s="46"/>
      <c r="C19" s="46"/>
      <c r="D19" s="46"/>
      <c r="E19" s="46"/>
      <c r="F19" s="46"/>
      <c r="G19" s="46"/>
      <c r="H19" s="46"/>
      <c r="I19" s="46"/>
      <c r="J19" s="46"/>
      <c r="L19" s="1"/>
      <c r="M19" s="1"/>
      <c r="O19" s="1"/>
      <c r="P19" s="1"/>
      <c r="Q19" s="1"/>
      <c r="R19" s="1"/>
      <c r="T19" s="1"/>
      <c r="U19" s="1"/>
      <c r="V19" s="1"/>
      <c r="W19" s="1"/>
      <c r="X19" s="1"/>
      <c r="Z19" s="1"/>
      <c r="AA19" s="1"/>
    </row>
    <row r="20" spans="1:27" ht="18" x14ac:dyDescent="0.2">
      <c r="A20" s="50" t="s">
        <v>30</v>
      </c>
      <c r="B20" s="50"/>
      <c r="C20" s="50"/>
      <c r="D20" s="50"/>
      <c r="E20" s="50"/>
      <c r="F20" s="50"/>
      <c r="G20" s="50"/>
      <c r="H20" s="50"/>
      <c r="I20" s="50"/>
      <c r="J20" s="50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4.25" x14ac:dyDescent="0.2">
      <c r="A21" s="46" t="s">
        <v>83</v>
      </c>
      <c r="B21" s="46"/>
      <c r="C21" s="46"/>
      <c r="D21" s="46"/>
      <c r="E21" s="46"/>
      <c r="F21" s="46"/>
      <c r="G21" s="46"/>
      <c r="H21" s="46"/>
      <c r="I21" s="46"/>
      <c r="J21" s="46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22.5" customHeight="1" x14ac:dyDescent="0.2">
      <c r="A22" s="88" t="s">
        <v>31</v>
      </c>
      <c r="B22" s="88"/>
      <c r="C22" s="88"/>
      <c r="D22" s="88"/>
      <c r="E22" s="88"/>
      <c r="F22" s="88"/>
      <c r="G22" s="88"/>
      <c r="H22" s="88"/>
      <c r="I22" s="88"/>
      <c r="J22" s="88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2.75" customHeight="1" x14ac:dyDescent="0.25">
      <c r="A23" s="85" t="s">
        <v>33</v>
      </c>
      <c r="B23" s="86"/>
      <c r="C23" s="86"/>
      <c r="D23" s="87" t="s">
        <v>10</v>
      </c>
      <c r="E23" s="87"/>
      <c r="F23" s="87"/>
      <c r="G23" s="58" t="s">
        <v>34</v>
      </c>
      <c r="H23" s="89"/>
      <c r="I23" s="89"/>
      <c r="J23" s="89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39.75" customHeight="1" x14ac:dyDescent="0.2">
      <c r="A24" s="86"/>
      <c r="B24" s="86"/>
      <c r="C24" s="86"/>
      <c r="D24" s="87"/>
      <c r="E24" s="87"/>
      <c r="F24" s="87"/>
      <c r="G24" s="21">
        <v>1</v>
      </c>
      <c r="H24" s="21">
        <v>2</v>
      </c>
      <c r="I24" s="22">
        <v>3</v>
      </c>
      <c r="J24" s="22">
        <v>4</v>
      </c>
      <c r="K24" s="5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43.5" customHeight="1" x14ac:dyDescent="0.2">
      <c r="A25" s="83" t="s">
        <v>11</v>
      </c>
      <c r="B25" s="119" t="s">
        <v>99</v>
      </c>
      <c r="C25" s="120"/>
      <c r="D25" s="77"/>
      <c r="E25" s="75"/>
      <c r="F25" s="76"/>
      <c r="G25" s="7"/>
      <c r="H25" s="18"/>
      <c r="I25" s="19"/>
      <c r="J25" s="19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43.5" customHeight="1" x14ac:dyDescent="0.2">
      <c r="A26" s="127"/>
      <c r="B26" s="121"/>
      <c r="C26" s="131"/>
      <c r="D26" s="116"/>
      <c r="E26" s="117"/>
      <c r="F26" s="118"/>
      <c r="G26" s="7"/>
      <c r="H26" s="18"/>
      <c r="I26" s="19"/>
      <c r="J26" s="1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3.5" customHeight="1" x14ac:dyDescent="0.2">
      <c r="A27" s="127"/>
      <c r="B27" s="119" t="s">
        <v>100</v>
      </c>
      <c r="C27" s="120"/>
      <c r="D27" s="128"/>
      <c r="E27" s="129"/>
      <c r="F27" s="130"/>
      <c r="G27" s="7"/>
      <c r="H27" s="18"/>
      <c r="I27" s="19"/>
      <c r="J27" s="19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43.5" customHeight="1" x14ac:dyDescent="0.2">
      <c r="A28" s="127"/>
      <c r="B28" s="121"/>
      <c r="C28" s="131"/>
      <c r="D28" s="116"/>
      <c r="E28" s="117"/>
      <c r="F28" s="118"/>
      <c r="G28" s="7"/>
      <c r="H28" s="18"/>
      <c r="I28" s="19"/>
      <c r="J28" s="1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42.75" customHeight="1" x14ac:dyDescent="0.2">
      <c r="A29" s="133" t="s">
        <v>27</v>
      </c>
      <c r="B29" s="72" t="s">
        <v>84</v>
      </c>
      <c r="C29" s="73"/>
      <c r="D29" s="77"/>
      <c r="E29" s="78"/>
      <c r="F29" s="79"/>
      <c r="G29" s="7"/>
      <c r="H29" s="18"/>
      <c r="I29" s="14"/>
      <c r="J29" s="14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42.75" customHeight="1" x14ac:dyDescent="0.2">
      <c r="A30" s="84"/>
      <c r="B30" s="72" t="s">
        <v>41</v>
      </c>
      <c r="C30" s="73"/>
      <c r="D30" s="74"/>
      <c r="E30" s="75"/>
      <c r="F30" s="76"/>
      <c r="G30" s="7"/>
      <c r="H30" s="18"/>
      <c r="I30" s="14"/>
      <c r="J30" s="14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42.75" customHeight="1" x14ac:dyDescent="0.2">
      <c r="A31" s="84"/>
      <c r="B31" s="72" t="s">
        <v>38</v>
      </c>
      <c r="C31" s="73"/>
      <c r="D31" s="74"/>
      <c r="E31" s="75"/>
      <c r="F31" s="76"/>
      <c r="G31" s="7"/>
      <c r="H31" s="18"/>
      <c r="I31" s="14"/>
      <c r="J31" s="14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42.75" customHeight="1" x14ac:dyDescent="0.2">
      <c r="A32" s="134"/>
      <c r="B32" s="72" t="s">
        <v>53</v>
      </c>
      <c r="C32" s="73"/>
      <c r="D32" s="74"/>
      <c r="E32" s="75"/>
      <c r="F32" s="76"/>
      <c r="G32" s="7"/>
      <c r="H32" s="18"/>
      <c r="I32" s="14"/>
      <c r="J32" s="14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2.75" customHeight="1" x14ac:dyDescent="0.25">
      <c r="A33" s="132"/>
      <c r="B33" s="71"/>
      <c r="C33" s="71"/>
      <c r="D33" s="71"/>
      <c r="E33" s="71"/>
      <c r="F33" s="71"/>
      <c r="G33" s="71"/>
      <c r="H33" s="7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2.75" customHeight="1" x14ac:dyDescent="0.25">
      <c r="A34" s="67" t="s">
        <v>12</v>
      </c>
      <c r="B34" s="68"/>
      <c r="C34" s="68"/>
      <c r="D34" s="68"/>
      <c r="E34" s="69"/>
      <c r="F34" s="70" t="s">
        <v>13</v>
      </c>
      <c r="G34" s="68"/>
      <c r="H34" s="6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2.75" customHeight="1" x14ac:dyDescent="0.25">
      <c r="A35" s="8">
        <v>8</v>
      </c>
      <c r="B35" s="52" t="s">
        <v>14</v>
      </c>
      <c r="C35" s="53"/>
      <c r="D35" s="53"/>
      <c r="E35" s="54"/>
      <c r="F35" s="55">
        <v>100</v>
      </c>
      <c r="G35" s="53"/>
      <c r="H35" s="54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2.75" customHeight="1" x14ac:dyDescent="0.25">
      <c r="A36" s="8">
        <v>7</v>
      </c>
      <c r="B36" s="63" t="s">
        <v>98</v>
      </c>
      <c r="C36" s="64"/>
      <c r="D36" s="64"/>
      <c r="E36" s="65"/>
      <c r="F36" s="55">
        <v>95</v>
      </c>
      <c r="G36" s="53"/>
      <c r="H36" s="5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2.75" customHeight="1" x14ac:dyDescent="0.25">
      <c r="A37" s="8">
        <v>6</v>
      </c>
      <c r="B37" s="63" t="s">
        <v>52</v>
      </c>
      <c r="C37" s="64"/>
      <c r="D37" s="64"/>
      <c r="E37" s="65"/>
      <c r="F37" s="55">
        <v>90</v>
      </c>
      <c r="G37" s="53"/>
      <c r="H37" s="5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2.75" customHeight="1" x14ac:dyDescent="0.25">
      <c r="A38" s="8">
        <v>5</v>
      </c>
      <c r="B38" s="66" t="s">
        <v>49</v>
      </c>
      <c r="C38" s="53"/>
      <c r="D38" s="53"/>
      <c r="E38" s="54"/>
      <c r="F38" s="55">
        <v>80</v>
      </c>
      <c r="G38" s="53"/>
      <c r="H38" s="5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2.75" customHeight="1" x14ac:dyDescent="0.25">
      <c r="A39" s="8">
        <v>4</v>
      </c>
      <c r="B39" s="66" t="s">
        <v>50</v>
      </c>
      <c r="C39" s="53"/>
      <c r="D39" s="53"/>
      <c r="E39" s="54"/>
      <c r="F39" s="55">
        <v>70</v>
      </c>
      <c r="G39" s="53"/>
      <c r="H39" s="5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2.75" customHeight="1" x14ac:dyDescent="0.25">
      <c r="A40" s="8">
        <v>3</v>
      </c>
      <c r="B40" s="66" t="s">
        <v>51</v>
      </c>
      <c r="C40" s="53"/>
      <c r="D40" s="53"/>
      <c r="E40" s="54"/>
      <c r="F40" s="55">
        <v>60</v>
      </c>
      <c r="G40" s="53"/>
      <c r="H40" s="54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2.75" customHeight="1" x14ac:dyDescent="0.25">
      <c r="A41" s="8">
        <v>2</v>
      </c>
      <c r="B41" s="62" t="s">
        <v>15</v>
      </c>
      <c r="C41" s="53"/>
      <c r="D41" s="53"/>
      <c r="E41" s="54"/>
      <c r="F41" s="55">
        <v>50</v>
      </c>
      <c r="G41" s="53"/>
      <c r="H41" s="54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2.75" customHeight="1" x14ac:dyDescent="0.25">
      <c r="A42" s="8">
        <v>1</v>
      </c>
      <c r="B42" s="52" t="s">
        <v>16</v>
      </c>
      <c r="C42" s="53"/>
      <c r="D42" s="53"/>
      <c r="E42" s="54"/>
      <c r="F42" s="55">
        <v>30</v>
      </c>
      <c r="G42" s="53"/>
      <c r="H42" s="54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2.75" customHeight="1" x14ac:dyDescent="0.2">
      <c r="A43" s="9"/>
      <c r="B43" s="9"/>
      <c r="C43" s="9"/>
      <c r="D43" s="10"/>
      <c r="E43" s="10"/>
      <c r="F43" s="11"/>
      <c r="G43" s="12"/>
      <c r="H43" s="1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5">
      <c r="A44" s="12"/>
      <c r="B44" s="12"/>
      <c r="C44" s="13"/>
      <c r="D44" s="16" t="s">
        <v>17</v>
      </c>
      <c r="E44" s="16" t="s">
        <v>18</v>
      </c>
      <c r="F44" s="16" t="s">
        <v>19</v>
      </c>
      <c r="G44" s="12"/>
      <c r="H44" s="1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5">
      <c r="A45" s="12"/>
      <c r="B45" s="12"/>
      <c r="C45" s="12"/>
      <c r="D45" s="17" t="s">
        <v>20</v>
      </c>
      <c r="E45" s="56">
        <v>1</v>
      </c>
      <c r="F45" s="56">
        <v>0</v>
      </c>
      <c r="G45" s="58" t="s">
        <v>47</v>
      </c>
      <c r="H45" s="60" t="s">
        <v>48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5">
      <c r="A46" s="12"/>
      <c r="B46" s="12"/>
      <c r="C46" s="12"/>
      <c r="D46" s="38" t="s">
        <v>21</v>
      </c>
      <c r="E46" s="57"/>
      <c r="F46" s="57"/>
      <c r="G46" s="59"/>
      <c r="H46" s="6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25.5" customHeight="1" x14ac:dyDescent="0.2">
      <c r="A47" s="51" t="s">
        <v>36</v>
      </c>
      <c r="B47" s="51"/>
      <c r="C47" s="51"/>
      <c r="D47" s="51"/>
      <c r="E47" s="51"/>
      <c r="F47" s="51"/>
      <c r="G47" s="51"/>
      <c r="H47" s="51"/>
      <c r="I47" s="51"/>
      <c r="J47" s="5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 x14ac:dyDescent="0.2">
      <c r="A48" s="1"/>
      <c r="B48" s="1"/>
      <c r="C48" s="1"/>
      <c r="D48" s="1"/>
      <c r="E48" s="1"/>
      <c r="F48" s="4"/>
      <c r="G48" s="5"/>
      <c r="H48" s="4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 x14ac:dyDescent="0.2">
      <c r="A49" s="1"/>
      <c r="B49" s="1"/>
      <c r="C49" s="1"/>
      <c r="D49" s="1"/>
      <c r="E49" s="1"/>
      <c r="F49" s="4"/>
      <c r="G49" s="5"/>
      <c r="H49" s="4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2">
      <c r="A50" s="1"/>
      <c r="B50" s="1"/>
      <c r="C50" s="1"/>
      <c r="D50" s="1"/>
      <c r="E50" s="1"/>
      <c r="F50" s="4"/>
      <c r="G50" s="5"/>
      <c r="H50" s="4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2">
      <c r="A51" s="1"/>
      <c r="B51" s="1"/>
      <c r="C51" s="1"/>
      <c r="D51" s="1"/>
      <c r="E51" s="1"/>
      <c r="F51" s="4"/>
      <c r="G51" s="5"/>
      <c r="H51" s="4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2">
      <c r="A52" s="1"/>
      <c r="B52" s="1"/>
      <c r="C52" s="1"/>
      <c r="D52" s="1"/>
      <c r="E52" s="1"/>
      <c r="F52" s="4"/>
      <c r="G52" s="5"/>
      <c r="H52" s="4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2">
      <c r="A53" s="1"/>
      <c r="B53" s="1"/>
      <c r="C53" s="1"/>
      <c r="D53" s="1"/>
      <c r="E53" s="1"/>
      <c r="F53" s="4"/>
      <c r="G53" s="5"/>
      <c r="H53" s="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">
      <c r="A54" s="1"/>
      <c r="B54" s="1"/>
      <c r="C54" s="1"/>
      <c r="D54" s="1"/>
      <c r="E54" s="1"/>
      <c r="F54" s="4"/>
      <c r="G54" s="5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2">
      <c r="A55" s="1"/>
      <c r="B55" s="1"/>
      <c r="C55" s="1"/>
      <c r="D55" s="1"/>
      <c r="E55" s="1"/>
      <c r="F55" s="4"/>
      <c r="G55" s="5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2">
      <c r="A56" s="1"/>
      <c r="B56" s="1"/>
      <c r="C56" s="1"/>
      <c r="D56" s="1"/>
      <c r="E56" s="1"/>
      <c r="F56" s="4"/>
      <c r="G56" s="5"/>
      <c r="H56" s="4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2">
      <c r="A57" s="1"/>
      <c r="B57" s="1"/>
      <c r="C57" s="1"/>
      <c r="D57" s="1"/>
      <c r="E57" s="1"/>
      <c r="F57" s="4"/>
      <c r="G57" s="5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5.7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5.7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5.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5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5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5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5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5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5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5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</sheetData>
  <mergeCells count="80">
    <mergeCell ref="A47:J47"/>
    <mergeCell ref="B39:E39"/>
    <mergeCell ref="B38:E38"/>
    <mergeCell ref="B36:E36"/>
    <mergeCell ref="F36:H36"/>
    <mergeCell ref="F38:H38"/>
    <mergeCell ref="F39:H39"/>
    <mergeCell ref="B41:E41"/>
    <mergeCell ref="F41:H41"/>
    <mergeCell ref="B42:E42"/>
    <mergeCell ref="F42:H42"/>
    <mergeCell ref="E45:E46"/>
    <mergeCell ref="F45:F46"/>
    <mergeCell ref="G45:G46"/>
    <mergeCell ref="H45:H46"/>
    <mergeCell ref="B35:E35"/>
    <mergeCell ref="F35:H35"/>
    <mergeCell ref="B37:E37"/>
    <mergeCell ref="F37:H37"/>
    <mergeCell ref="B40:E40"/>
    <mergeCell ref="F40:H40"/>
    <mergeCell ref="B31:C31"/>
    <mergeCell ref="D31:F31"/>
    <mergeCell ref="B32:C32"/>
    <mergeCell ref="D32:F32"/>
    <mergeCell ref="A33:H33"/>
    <mergeCell ref="A34:E34"/>
    <mergeCell ref="F34:H34"/>
    <mergeCell ref="D27:F27"/>
    <mergeCell ref="D28:F28"/>
    <mergeCell ref="A29:A32"/>
    <mergeCell ref="B29:C29"/>
    <mergeCell ref="D29:F29"/>
    <mergeCell ref="B30:C30"/>
    <mergeCell ref="D30:F30"/>
    <mergeCell ref="A21:J21"/>
    <mergeCell ref="A22:J22"/>
    <mergeCell ref="A23:C24"/>
    <mergeCell ref="D23:F24"/>
    <mergeCell ref="G23:J23"/>
    <mergeCell ref="A25:A28"/>
    <mergeCell ref="B25:C26"/>
    <mergeCell ref="D25:F25"/>
    <mergeCell ref="D26:F26"/>
    <mergeCell ref="B27:C28"/>
    <mergeCell ref="A15:J15"/>
    <mergeCell ref="A16:J16"/>
    <mergeCell ref="A17:J17"/>
    <mergeCell ref="A18:J18"/>
    <mergeCell ref="A19:J19"/>
    <mergeCell ref="A20:J20"/>
    <mergeCell ref="G12:H12"/>
    <mergeCell ref="I12:J12"/>
    <mergeCell ref="A13:J13"/>
    <mergeCell ref="A14:J14"/>
    <mergeCell ref="A8:J8"/>
    <mergeCell ref="G9:H9"/>
    <mergeCell ref="I9:J9"/>
    <mergeCell ref="G10:H10"/>
    <mergeCell ref="I10:J10"/>
    <mergeCell ref="G11:H11"/>
    <mergeCell ref="I11:J11"/>
    <mergeCell ref="A4:B5"/>
    <mergeCell ref="C4:D5"/>
    <mergeCell ref="E4:F4"/>
    <mergeCell ref="G4:J4"/>
    <mergeCell ref="E5:F5"/>
    <mergeCell ref="G5:J7"/>
    <mergeCell ref="A6:B7"/>
    <mergeCell ref="C6:D7"/>
    <mergeCell ref="E6:F7"/>
    <mergeCell ref="A1:J1"/>
    <mergeCell ref="A2:B3"/>
    <mergeCell ref="C2:D3"/>
    <mergeCell ref="E2:F2"/>
    <mergeCell ref="G2:H2"/>
    <mergeCell ref="I2:J2"/>
    <mergeCell ref="E3:F3"/>
    <mergeCell ref="G3:H3"/>
    <mergeCell ref="I3:J3"/>
  </mergeCells>
  <printOptions horizontalCentered="1"/>
  <pageMargins left="0.51181102362204722" right="0.51181102362204722" top="0.78740157480314965" bottom="0.78740157480314965" header="0" footer="0"/>
  <pageSetup paperSize="9" scale="83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66247-B9FA-4D99-8386-8EE0F77272C8}">
  <dimension ref="A1:I9"/>
  <sheetViews>
    <sheetView workbookViewId="0">
      <selection activeCell="N13" sqref="N13"/>
    </sheetView>
  </sheetViews>
  <sheetFormatPr defaultRowHeight="14.25" x14ac:dyDescent="0.2"/>
  <sheetData>
    <row r="1" spans="1:9" ht="23.25" x14ac:dyDescent="0.2">
      <c r="A1" s="47" t="s">
        <v>86</v>
      </c>
      <c r="B1" s="48"/>
      <c r="C1" s="48"/>
      <c r="D1" s="48"/>
      <c r="E1" s="48"/>
      <c r="F1" s="48"/>
      <c r="G1" s="48"/>
      <c r="H1" s="48"/>
      <c r="I1" s="48"/>
    </row>
    <row r="2" spans="1:9" ht="18" customHeight="1" x14ac:dyDescent="0.2">
      <c r="A2" s="136" t="s">
        <v>85</v>
      </c>
      <c r="B2" s="137"/>
      <c r="C2" s="137"/>
      <c r="D2" s="137"/>
      <c r="E2" s="137"/>
      <c r="F2" s="137"/>
      <c r="G2" s="137"/>
      <c r="H2" s="137"/>
      <c r="I2" s="138"/>
    </row>
    <row r="3" spans="1:9" x14ac:dyDescent="0.2">
      <c r="A3" s="139" t="s">
        <v>75</v>
      </c>
      <c r="B3" s="140"/>
      <c r="C3" s="140"/>
      <c r="D3" s="140"/>
      <c r="E3" s="140"/>
      <c r="F3" s="140"/>
      <c r="G3" s="140"/>
      <c r="H3" s="140"/>
      <c r="I3" s="141"/>
    </row>
    <row r="4" spans="1:9" x14ac:dyDescent="0.2">
      <c r="A4" s="142" t="s">
        <v>76</v>
      </c>
      <c r="B4" s="143"/>
      <c r="C4" s="143"/>
      <c r="D4" s="143"/>
      <c r="E4" s="143"/>
      <c r="F4" s="143"/>
      <c r="G4" s="143"/>
      <c r="H4" s="143"/>
      <c r="I4" s="144"/>
    </row>
    <row r="5" spans="1:9" x14ac:dyDescent="0.2">
      <c r="A5" s="142" t="s">
        <v>77</v>
      </c>
      <c r="B5" s="143"/>
      <c r="C5" s="143"/>
      <c r="D5" s="143"/>
      <c r="E5" s="143"/>
      <c r="F5" s="143"/>
      <c r="G5" s="143"/>
      <c r="H5" s="143"/>
      <c r="I5" s="144"/>
    </row>
    <row r="6" spans="1:9" x14ac:dyDescent="0.2">
      <c r="A6" s="142" t="s">
        <v>78</v>
      </c>
      <c r="B6" s="143"/>
      <c r="C6" s="143"/>
      <c r="D6" s="143"/>
      <c r="E6" s="143"/>
      <c r="F6" s="143"/>
      <c r="G6" s="143"/>
      <c r="H6" s="143"/>
      <c r="I6" s="144"/>
    </row>
    <row r="7" spans="1:9" x14ac:dyDescent="0.2">
      <c r="A7" s="145" t="s">
        <v>79</v>
      </c>
      <c r="B7" s="146"/>
      <c r="C7" s="146"/>
      <c r="D7" s="146"/>
      <c r="E7" s="146"/>
      <c r="F7" s="146"/>
      <c r="G7" s="146"/>
      <c r="H7" s="146"/>
      <c r="I7" s="147"/>
    </row>
    <row r="9" spans="1:9" ht="23.25" x14ac:dyDescent="0.2">
      <c r="A9" s="47" t="s">
        <v>87</v>
      </c>
      <c r="B9" s="48"/>
      <c r="C9" s="48"/>
      <c r="D9" s="48"/>
      <c r="E9" s="48"/>
      <c r="F9" s="48"/>
      <c r="G9" s="48"/>
      <c r="H9" s="48"/>
      <c r="I9" s="48"/>
    </row>
  </sheetData>
  <mergeCells count="3">
    <mergeCell ref="A1:I1"/>
    <mergeCell ref="A2:I2"/>
    <mergeCell ref="A9:I9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E4A-C38D-4BDB-9F49-B82B6E8AEB6C}">
  <dimension ref="A1:C38"/>
  <sheetViews>
    <sheetView workbookViewId="0">
      <selection activeCell="D4" sqref="D4"/>
    </sheetView>
  </sheetViews>
  <sheetFormatPr defaultRowHeight="14.25" x14ac:dyDescent="0.2"/>
  <cols>
    <col min="1" max="1" width="90.125" customWidth="1"/>
  </cols>
  <sheetData>
    <row r="1" spans="1:1" ht="25.5" thickBot="1" x14ac:dyDescent="0.25">
      <c r="A1" s="148" t="s">
        <v>111</v>
      </c>
    </row>
    <row r="2" spans="1:1" ht="15" thickBot="1" x14ac:dyDescent="0.25">
      <c r="A2" s="149" t="s">
        <v>112</v>
      </c>
    </row>
    <row r="3" spans="1:1" ht="43.5" thickBot="1" x14ac:dyDescent="0.25">
      <c r="A3" s="150" t="s">
        <v>113</v>
      </c>
    </row>
    <row r="4" spans="1:1" ht="288" customHeight="1" thickBot="1" x14ac:dyDescent="0.25">
      <c r="A4" s="151"/>
    </row>
    <row r="5" spans="1:1" ht="15" thickBot="1" x14ac:dyDescent="0.25">
      <c r="A5" s="149" t="s">
        <v>111</v>
      </c>
    </row>
    <row r="6" spans="1:1" ht="43.5" thickBot="1" x14ac:dyDescent="0.25">
      <c r="A6" s="150" t="s">
        <v>114</v>
      </c>
    </row>
    <row r="7" spans="1:1" ht="16.5" x14ac:dyDescent="0.2">
      <c r="A7" s="152" t="s">
        <v>115</v>
      </c>
    </row>
    <row r="8" spans="1:1" ht="17.25" x14ac:dyDescent="0.2">
      <c r="A8" s="151"/>
    </row>
    <row r="19" spans="3:3" x14ac:dyDescent="0.2">
      <c r="C19" s="153" t="s">
        <v>116</v>
      </c>
    </row>
    <row r="37" spans="1:1" ht="15" thickBot="1" x14ac:dyDescent="0.25"/>
    <row r="38" spans="1:1" ht="15" thickBot="1" x14ac:dyDescent="0.25">
      <c r="A38" s="149" t="s">
        <v>117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Plano de Ensino1</vt:lpstr>
      <vt:lpstr>Plano de Ensino2</vt:lpstr>
      <vt:lpstr>Atividades-IP</vt:lpstr>
      <vt:lpstr>Atividade1-Arduino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WELLINGTON FABIO DE OLIVEIRA MARTINS</cp:lastModifiedBy>
  <cp:lastPrinted>2024-09-27T22:52:57Z</cp:lastPrinted>
  <dcterms:created xsi:type="dcterms:W3CDTF">2014-10-03T14:17:32Z</dcterms:created>
  <dcterms:modified xsi:type="dcterms:W3CDTF">2026-02-09T14:36:33Z</dcterms:modified>
</cp:coreProperties>
</file>