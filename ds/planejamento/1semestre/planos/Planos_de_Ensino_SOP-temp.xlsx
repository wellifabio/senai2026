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SENVOLVIMENTO\Desktop\senai2026\ds\planejamento\1semestre\planos\"/>
    </mc:Choice>
  </mc:AlternateContent>
  <xr:revisionPtr revIDLastSave="0" documentId="13_ncr:1_{6613F49C-5352-4E1C-9527-C678882CA9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o de Ensin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21" i="2" l="1"/>
</calcChain>
</file>

<file path=xl/sharedStrings.xml><?xml version="1.0" encoding="utf-8"?>
<sst xmlns="http://schemas.openxmlformats.org/spreadsheetml/2006/main" count="135" uniqueCount="108">
  <si>
    <t>PLANO DE ENSINO</t>
  </si>
  <si>
    <t>Data</t>
  </si>
  <si>
    <t>Curso:</t>
  </si>
  <si>
    <t>Unidade Curricular: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</si>
  <si>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</si>
  <si>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</si>
  <si>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</si>
  <si>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</si>
  <si>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</si>
  <si>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</si>
  <si>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Critérios</t>
  </si>
  <si>
    <t>Técnicos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</si>
  <si>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</si>
  <si>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</si>
  <si>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</si>
  <si>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</si>
  <si>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</si>
  <si>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</si>
  <si>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</si>
  <si>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</si>
  <si>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</si>
  <si>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Desejáveis</t>
  </si>
  <si>
    <t>Capacidades</t>
  </si>
  <si>
    <t xml:space="preserve">Objetivo: </t>
  </si>
  <si>
    <t>Aprovação :</t>
  </si>
  <si>
    <t>Turma:</t>
  </si>
  <si>
    <t>Assinatura e Carimbo</t>
  </si>
  <si>
    <t>Socio Emocionais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</si>
  <si>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</si>
  <si>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</si>
  <si>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</si>
  <si>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</si>
  <si>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</si>
  <si>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</si>
  <si>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</si>
  <si>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</si>
  <si>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</si>
  <si>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Carga Horária Não-Presencial: 0</t>
  </si>
  <si>
    <t>Técnico em Desenvolvimento de Sistemas</t>
  </si>
  <si>
    <t>Docente : Wellington Fábio de O. Martins</t>
  </si>
  <si>
    <t>Data:    /    /2026</t>
  </si>
  <si>
    <t>Avaliação Formativa - Projeto</t>
  </si>
  <si>
    <t>S</t>
  </si>
  <si>
    <t>Somativa</t>
  </si>
  <si>
    <t>Acertou todos os critérios críticos e pelo menos 3 dos 6 desejáveis</t>
  </si>
  <si>
    <t>Acertou todos os critérios críticos e pelo menos 2 dos 6 desejáveis</t>
  </si>
  <si>
    <t>Acertou todos os critérios críticos e pelo menos 1 dos 6 desejáveis</t>
  </si>
  <si>
    <t>Acertou todos os critérios críticos e pelo menos 4 dos 6 desejáveis</t>
  </si>
  <si>
    <t>Data: 09/02/2026</t>
  </si>
  <si>
    <t>Lista de exercícios</t>
  </si>
  <si>
    <t>Acertou todos os critérios críticos e pelo menos 5 dos 6 desejáveis</t>
  </si>
  <si>
    <t>SISTEMAS OPERACIONAIS</t>
  </si>
  <si>
    <t>Desenvolver capacidades básicas e socioemocionais necessárias à compreensão da estrutura, funcionamento, instalação, configuração e operação de sistemas operacionais de código aberto e fechado considerando segurança da informação.</t>
  </si>
  <si>
    <t>Carga Horária Presencial: 120</t>
  </si>
  <si>
    <t>Carga Horária Total: 120</t>
  </si>
  <si>
    <t>1 Identificar as características técnicas dos sistemas de arquivo, tendo em vista a utilização de sistemas operacionais</t>
  </si>
  <si>
    <t>1.4. Modo gráfico (interface gráfica)
1.4.1.Área de trabalho
1.4.2.Trabalho com janelas
1.4.3.Configuração do sistema
1.4.4.Ferramentas do sistema
1.4.5.Acessórios
1.4.6.Menu de ajuda
1.4.7.Gerenciamento de arquivos
1.4.8.Gerenciamento de usuários e permissões</t>
  </si>
  <si>
    <t>3 Operar sistemas operacionais por meio de linha de comando e interface gráfica</t>
  </si>
  <si>
    <t>4 Configurar sistemas operacionais considerando variáveis de ambiente, memória, disco, serviço, usuários e permissões</t>
  </si>
  <si>
    <t>2 Instalar sistemas operacionais em máquinas virtuais</t>
  </si>
  <si>
    <t>1.3. Modo texto
1.3.1.Navegação entre diretórios
1.3.2.Criação de diretórios e arquivos
1.3.3.Exclusão de diretórios e arquivos
1.3.4.Renomeação de diretórios e arquivos
1.3.5.Movimentação de diretórios e arquivos
1.3.6.Cópia de diretórios e arquivos
1.3.7.Edição de arquivos 1.5. Níveis de inicialização e finalização</t>
  </si>
  <si>
    <t>1 Sistema operacional de código fechado
1.1. Definição</t>
  </si>
  <si>
    <t>1.2. InstalaçãoSistema operacional de código aberto
2.1. Definição
2.2. Instalação</t>
  </si>
  <si>
    <t>2.4. Modo gráfico (interface gráfica)
2.4.1.Área de trabalho
2.4.2.Trabalho com janelas
2.4.3.Configuração do sistema
2.4.4.Ferramentas do sistema
2.4.5.Acessórios
2.4.6.Menu de ajuda
2.4.7.Gerenciamento de arquivos
2.4.8.Gerenciamento de usuários e permissões</t>
  </si>
  <si>
    <t>2.3. Modo texto (linha de comando)
2.3.1.Navegação entre diretórios
2.3.2.Criação de diretórios e arquivos
2.3.3.Exclusão de diretórios e arquivos
2.3.4.Renomeação de diretórios e arquivos
2.3.5.Movimentação de diretórios e arquivos
2.3.6.Cópia de diretórios e arquivos
2.3.7.Edição de arquivos 2.5. Níveis de inicialização e finalização</t>
  </si>
  <si>
    <t>Dia01</t>
  </si>
  <si>
    <t>Dia02 Dia03</t>
  </si>
  <si>
    <t>Dia04 Dia05</t>
  </si>
  <si>
    <t>Dia04</t>
  </si>
  <si>
    <t>Unidades e pastas em rede
3.1. Compartilhamento
3.2. Acesso
3.3. Mapeamento</t>
  </si>
  <si>
    <t>Firewall nativo de sistema operacional
4.1. Definição
4.2. Aplicação
Redes Virtuais Privadas (VPN)
5.1. Definição
5.2. Aplicação</t>
  </si>
  <si>
    <t>Segurança cibernética
6.1. Definição
6.2. Ameaças
6.3. Vulnerabilidades
6.4. Credenciais
6.5. Engenharia Social
6.6. Intervenções
6.6.1.Proteção
6.6.2.Prevenção</t>
  </si>
  <si>
    <t>Política de Segurança da Informação - PSI
7.1. Definição dos objetivos
7.2. Escopo
7.3. Responsabilidades</t>
  </si>
  <si>
    <t>Legislação
8.1. Marco Civil da Internet
8.2. Lei Geral de Proteção de Dados (LGPD)</t>
  </si>
  <si>
    <t>5 Compartilhar unidades e pastas em rede 6 Mapear unidades e pastas compartilhadas em rede</t>
  </si>
  <si>
    <t>8 Identificar medidas de proteção e prevenção de ataques cibernéticos</t>
  </si>
  <si>
    <t>7 Utilizar VPN (Virtual Private Network) para comunicação entre serviços de rede 9 Configurar firewall</t>
  </si>
  <si>
    <t>10 Seguir políticas, procedimentos e legislação de segurança da informação</t>
  </si>
  <si>
    <t>8 Identificar medidas de proteção e prevenção de ataques cibernéticos 10 Seguir políticas, procedimentos e legislação de segurança da informação</t>
  </si>
  <si>
    <t>Marcador e quadro branco, Projetor multimídia</t>
  </si>
  <si>
    <t>Marcador e quadro branco, Projetor multimídia. Computador com acesso a internet</t>
  </si>
  <si>
    <t>Exposição dialogada</t>
  </si>
  <si>
    <t>Exposição dialogada, atividade prática</t>
  </si>
  <si>
    <t>Exposição dialogada, atividade prática, Lista de exercícios</t>
  </si>
  <si>
    <t>Exposição dialogada, atividade prática, Lista de exercícios, Desafios com questões interativas "kahoot"</t>
  </si>
  <si>
    <t>O que é um sistema operacional? O que é hardware? O que é software? O que é um software básico?</t>
  </si>
  <si>
    <t>Observação direta</t>
  </si>
  <si>
    <t>Qual o procedimento correto ao desligar um computador? O que são acessórios? Para que serve o Painel de controle? O que são arquivos? Quais as diferenças entre arquivo e pasta?</t>
  </si>
  <si>
    <t>Questionário</t>
  </si>
  <si>
    <t>Por que um téncnico deve saber utilizar o modo de linha de comando de um sistema operacional? O que é shell? O que é CMD? Qual o comando para desligar um computador de forma segura?</t>
  </si>
  <si>
    <t>Atividade prática, lista de exercícios</t>
  </si>
  <si>
    <t>Qual a diferença entre um sistema oparacional de código aberto e fechado? Quem criou o Linux? Por que o linux foi criado?</t>
  </si>
  <si>
    <t>Questionário, Atividade prática</t>
  </si>
  <si>
    <t>O que é virtualização de servidores? Para que serve o Virtual box? O que é um arquivo .iso? O que é nuvem na computação?</t>
  </si>
  <si>
    <t>O que é um sistema de arquivos? Quais os três níveis de permissão existe em todos os arquivos de um sistema operacional de código aberto baseado em Minix? Como renomear um diretório? Qual a diferença entre pasta e diretório?</t>
  </si>
  <si>
    <t>Atividade prática</t>
  </si>
  <si>
    <t>O que é uma pasta de rede? O que é um servidor de arquivos?</t>
  </si>
  <si>
    <t>Para que serve um firewall? O que é VPN? Para que serve uma VPN?</t>
  </si>
  <si>
    <t>Atividade prática, Questionário</t>
  </si>
  <si>
    <t>O que é segurança cibernetica? O que é engenharia social? De quem é a responsabilidade pelos dados de uma empresa?</t>
  </si>
  <si>
    <t>O que são políticas de prevenção? Quem é responsável pelos seus dados? O que é escopo?</t>
  </si>
  <si>
    <t>O que é LGPD? Existem leis cibernéticas apenas no Brasil?</t>
  </si>
  <si>
    <t>Lista de exercícios, Questionário</t>
  </si>
  <si>
    <t>Situação desafiadora</t>
  </si>
  <si>
    <t>Estudo de caso</t>
  </si>
  <si>
    <t>Você trabalha para uma empresa que presta serviço de infraestrutura de TI para outras empresas, um de seus clientes quer hospedar um sistema internamente em sua rede, o sistema classifica e exibe todos os contratos desta empresa que fica em uma pasta compartilhada na rede.</t>
  </si>
  <si>
    <t>A) Você precisa criar uma máquina virtual com SO Linux com um servidor de aplicação habilitado, este servirá para hospedar o sistema da empresa.
[Capacidade: 1 Identificar as características técnicas dos sistemas de arquivo, tendo em vista a utilização de sistemas operacionais, 2 Instalar sistemas operacionais em máquinas virtuais, 3 Operar sistemas operacionais por meio de linha de comando e interface gráfica, 4 Configurar sistemas operacionais considerando variáveis de ambiente, memória, disco, serviço, usuários e permissões]
B) Na sua máquina local crie um diretório chamado contratos e compartilhe através de uma rede que se comunique com a máquina virtual.
[Capacidade: 5 Compartilhar unidades e pastas em rede 6 Mapear unidades e pastas compartilhadas em rede]
C) A empresa cliente é um escritório de arquitetura que possui varios contratos de projetos em andamento, crie um documento no word listando as políticas de segurança de rede desta empresa, crie este documento baseando-se na LGPD.
D)  Explique neste documento como deve ser o acesso a rede quando os funcionários estiverem externos a empresa, qual tipo de VPN devem utilizar.
[Capacidade: 7 Utilizar VPN (Virtual Private Network) para comunicação entre serviços de rede 9 Configurar firewall, 8 Identificar medidas de proteção e prevenção de ataques cibernéticos, 10 Seguir políticas, procedimentos e legislação de segurança da informação]</t>
  </si>
  <si>
    <t>Apresente seu computador ao professor com as máquinas virtuais criadas, a pasta compartilhada e apresente o documento com as poíticas de segurança e acesso externo a serem aplicadas pela empresa (Escritório de arquitetura).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</si>
</sst>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38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1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sz val="11"/>
      <color rgb="FFFF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9" fillId="0" borderId="0" xfId="0" applyFont="1"/>
    <xf numFmtId="0" fontId="12" fillId="0" borderId="2" xfId="0" applyFont="1" applyBorder="1" applyAlignment="1">
      <alignment horizontal="center" wrapText="1"/>
    </xf>
    <xf numFmtId="0" fontId="10" fillId="2" borderId="7" xfId="0" applyFont="1" applyFill="1" applyBorder="1" applyAlignment="1">
      <alignment horizontal="center" wrapText="1"/>
    </xf>
    <xf numFmtId="165" fontId="11" fillId="0" borderId="0" xfId="0" applyNumberFormat="1" applyFont="1"/>
    <xf numFmtId="165" fontId="11" fillId="0" borderId="1" xfId="0" applyNumberFormat="1" applyFont="1" applyBorder="1"/>
    <xf numFmtId="0" fontId="11" fillId="0" borderId="1" xfId="0" applyFont="1" applyBorder="1"/>
    <xf numFmtId="0" fontId="11" fillId="0" borderId="0" xfId="0" applyFont="1"/>
    <xf numFmtId="0" fontId="11" fillId="0" borderId="8" xfId="0" applyFont="1" applyBorder="1"/>
    <xf numFmtId="0" fontId="7" fillId="0" borderId="11" xfId="0" applyFont="1" applyBorder="1" applyAlignment="1">
      <alignment wrapText="1"/>
    </xf>
    <xf numFmtId="0" fontId="7" fillId="0" borderId="11" xfId="0" applyFont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11" fillId="0" borderId="1" xfId="0" applyFont="1" applyBorder="1" applyAlignment="1">
      <alignment vertical="top"/>
    </xf>
    <xf numFmtId="0" fontId="7" fillId="0" borderId="16" xfId="0" applyFont="1" applyBorder="1" applyAlignment="1">
      <alignment wrapText="1"/>
    </xf>
    <xf numFmtId="0" fontId="26" fillId="0" borderId="11" xfId="0" applyFont="1" applyBorder="1" applyAlignment="1">
      <alignment wrapText="1"/>
    </xf>
    <xf numFmtId="0" fontId="27" fillId="0" borderId="11" xfId="0" applyFont="1" applyBorder="1" applyAlignment="1">
      <alignment horizontal="left" wrapText="1"/>
    </xf>
    <xf numFmtId="0" fontId="28" fillId="0" borderId="11" xfId="0" applyFont="1" applyBorder="1" applyAlignment="1">
      <alignment horizontal="left" wrapText="1"/>
    </xf>
    <xf numFmtId="0" fontId="7" fillId="0" borderId="2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164" fontId="29" fillId="0" borderId="11" xfId="0" applyNumberFormat="1" applyFont="1" applyBorder="1" applyAlignment="1">
      <alignment horizontal="center" vertical="center" wrapText="1"/>
    </xf>
    <xf numFmtId="164" fontId="26" fillId="0" borderId="16" xfId="0" applyNumberFormat="1" applyFont="1" applyBorder="1" applyAlignment="1">
      <alignment horizontal="center" vertical="center" wrapText="1"/>
    </xf>
    <xf numFmtId="164" fontId="26" fillId="0" borderId="11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center" wrapText="1"/>
    </xf>
    <xf numFmtId="0" fontId="28" fillId="0" borderId="0" xfId="0" applyFont="1" applyAlignment="1">
      <alignment horizontal="center" wrapText="1"/>
    </xf>
    <xf numFmtId="0" fontId="10" fillId="0" borderId="15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left" vertical="top" wrapText="1"/>
    </xf>
    <xf numFmtId="0" fontId="19" fillId="3" borderId="12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top" wrapText="1"/>
    </xf>
    <xf numFmtId="0" fontId="36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23" fillId="3" borderId="11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24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30" fillId="0" borderId="22" xfId="0" applyFont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 textRotation="90" wrapText="1"/>
    </xf>
    <xf numFmtId="0" fontId="10" fillId="0" borderId="21" xfId="0" applyFont="1" applyBorder="1" applyAlignment="1">
      <alignment horizontal="center" vertical="center" textRotation="90" wrapText="1"/>
    </xf>
    <xf numFmtId="0" fontId="10" fillId="0" borderId="16" xfId="0" applyFont="1" applyBorder="1" applyAlignment="1">
      <alignment horizontal="center" vertical="center" textRotation="90" wrapText="1"/>
    </xf>
    <xf numFmtId="0" fontId="34" fillId="0" borderId="12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6" fillId="0" borderId="13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0" borderId="2" xfId="0" applyFont="1" applyBorder="1"/>
    <xf numFmtId="0" fontId="25" fillId="0" borderId="3" xfId="0" applyFont="1" applyBorder="1" applyAlignment="1">
      <alignment wrapText="1"/>
    </xf>
    <xf numFmtId="0" fontId="25" fillId="0" borderId="4" xfId="0" applyFont="1" applyBorder="1" applyAlignment="1">
      <alignment wrapText="1"/>
    </xf>
    <xf numFmtId="0" fontId="25" fillId="0" borderId="5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37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3" fillId="0" borderId="11" xfId="0" applyFont="1" applyBorder="1"/>
    <xf numFmtId="0" fontId="0" fillId="0" borderId="11" xfId="0" applyBorder="1"/>
    <xf numFmtId="0" fontId="31" fillId="0" borderId="11" xfId="0" applyFont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/>
    </xf>
    <xf numFmtId="164" fontId="29" fillId="0" borderId="11" xfId="0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22" fillId="3" borderId="11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5" fillId="0" borderId="11" xfId="0" applyFont="1" applyBorder="1" applyAlignment="1">
      <alignment horizontal="left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5" xfId="0" applyFont="1" applyBorder="1"/>
    <xf numFmtId="0" fontId="10" fillId="0" borderId="15" xfId="0" applyFont="1" applyBorder="1" applyAlignment="1">
      <alignment horizontal="center" wrapText="1"/>
    </xf>
    <xf numFmtId="0" fontId="25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25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0" fillId="2" borderId="3" xfId="0" applyFont="1" applyFill="1" applyBorder="1" applyAlignment="1">
      <alignment horizontal="center" wrapText="1"/>
    </xf>
    <xf numFmtId="0" fontId="3" fillId="0" borderId="4" xfId="0" applyFont="1" applyBorder="1"/>
    <xf numFmtId="0" fontId="3" fillId="0" borderId="5" xfId="0" applyFont="1" applyBorder="1"/>
    <xf numFmtId="0" fontId="10" fillId="2" borderId="4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8" fillId="0" borderId="15" xfId="0" applyFont="1" applyBorder="1" applyAlignment="1">
      <alignment horizontal="center" vertical="center" textRotation="90" wrapText="1"/>
    </xf>
    <xf numFmtId="0" fontId="3" fillId="0" borderId="21" xfId="0" applyFont="1" applyBorder="1" applyAlignment="1">
      <alignment textRotation="90"/>
    </xf>
    <xf numFmtId="0" fontId="3" fillId="0" borderId="16" xfId="0" applyFont="1" applyBorder="1" applyAlignment="1">
      <alignment textRotation="90"/>
    </xf>
    <xf numFmtId="0" fontId="35" fillId="0" borderId="11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28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0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697"/>
  <sheetViews>
    <sheetView tabSelected="1" zoomScaleNormal="100" workbookViewId="0">
      <selection activeCell="B32" sqref="B32:C32"/>
    </sheetView>
  </sheetViews>
  <sheetFormatPr defaultColWidth="12.625" defaultRowHeight="15" customHeight="1" x14ac:dyDescent="0.2"/>
  <cols>
    <col min="1" max="1" width="7.125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1" spans="1:27" ht="27.75" customHeight="1" x14ac:dyDescent="0.35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27" ht="15" customHeight="1" x14ac:dyDescent="0.25">
      <c r="A2" s="109" t="s">
        <v>2</v>
      </c>
      <c r="B2" s="110"/>
      <c r="C2" s="102" t="s">
        <v>38</v>
      </c>
      <c r="D2" s="103"/>
      <c r="E2" s="106" t="s">
        <v>39</v>
      </c>
      <c r="F2" s="107"/>
      <c r="G2" s="87" t="s">
        <v>24</v>
      </c>
      <c r="H2" s="87"/>
      <c r="I2" s="87" t="s">
        <v>25</v>
      </c>
      <c r="J2" s="87"/>
    </row>
    <row r="3" spans="1:27" ht="15" customHeight="1" x14ac:dyDescent="0.25">
      <c r="A3" s="109"/>
      <c r="B3" s="110"/>
      <c r="C3" s="104"/>
      <c r="D3" s="105"/>
      <c r="E3" s="108" t="s">
        <v>48</v>
      </c>
      <c r="F3" s="108"/>
      <c r="G3" s="85" t="s">
        <v>40</v>
      </c>
      <c r="H3" s="85"/>
      <c r="I3" s="86"/>
      <c r="J3" s="86"/>
    </row>
    <row r="4" spans="1:27" ht="15" customHeight="1" x14ac:dyDescent="0.25">
      <c r="A4" s="89" t="s">
        <v>3</v>
      </c>
      <c r="B4" s="90"/>
      <c r="C4" s="86" t="s">
        <v>51</v>
      </c>
      <c r="D4" s="86"/>
      <c r="E4" s="97" t="s">
        <v>53</v>
      </c>
      <c r="F4" s="98"/>
      <c r="G4" s="85" t="s">
        <v>26</v>
      </c>
      <c r="H4" s="85"/>
      <c r="I4" s="85"/>
      <c r="J4" s="85"/>
    </row>
    <row r="5" spans="1:27" ht="15" customHeight="1" x14ac:dyDescent="0.25">
      <c r="A5" s="90"/>
      <c r="B5" s="91"/>
      <c r="C5" s="86"/>
      <c r="D5" s="86"/>
      <c r="E5" s="99" t="s">
        <v>37</v>
      </c>
      <c r="F5" s="100"/>
      <c r="G5" s="86"/>
      <c r="H5" s="86"/>
      <c r="I5" s="86"/>
      <c r="J5" s="86"/>
    </row>
    <row r="6" spans="1:27" ht="15" customHeight="1" x14ac:dyDescent="0.2">
      <c r="A6" s="89" t="s">
        <v>23</v>
      </c>
      <c r="B6" s="90"/>
      <c r="C6" s="92" t="s">
        <v>52</v>
      </c>
      <c r="D6" s="92"/>
      <c r="E6" s="55" t="s">
        <v>54</v>
      </c>
      <c r="F6" s="56"/>
      <c r="G6" s="86"/>
      <c r="H6" s="86"/>
      <c r="I6" s="86"/>
      <c r="J6" s="86"/>
    </row>
    <row r="7" spans="1:27" ht="46.5" customHeight="1" x14ac:dyDescent="0.2">
      <c r="A7" s="90"/>
      <c r="B7" s="91"/>
      <c r="C7" s="92"/>
      <c r="D7" s="92"/>
      <c r="E7" s="57"/>
      <c r="F7" s="56"/>
      <c r="G7" s="86"/>
      <c r="H7" s="86"/>
      <c r="I7" s="86"/>
      <c r="J7" s="86"/>
    </row>
    <row r="8" spans="1:27" ht="26.25" customHeight="1" x14ac:dyDescent="0.25">
      <c r="A8" s="93" t="s">
        <v>32</v>
      </c>
      <c r="B8" s="93"/>
      <c r="C8" s="93"/>
      <c r="D8" s="93"/>
      <c r="E8" s="93"/>
      <c r="F8" s="93"/>
      <c r="G8" s="93"/>
      <c r="H8" s="93"/>
      <c r="I8" s="93"/>
      <c r="J8" s="93"/>
    </row>
    <row r="9" spans="1:27" ht="49.5" customHeight="1" x14ac:dyDescent="0.2">
      <c r="A9" s="24" t="s">
        <v>1</v>
      </c>
      <c r="B9" s="25" t="s">
        <v>5</v>
      </c>
      <c r="C9" s="25" t="s">
        <v>22</v>
      </c>
      <c r="D9" s="25" t="s">
        <v>4</v>
      </c>
      <c r="E9" s="25" t="s">
        <v>6</v>
      </c>
      <c r="F9" s="25" t="s">
        <v>7</v>
      </c>
      <c r="G9" s="94" t="s">
        <v>8</v>
      </c>
      <c r="H9" s="94"/>
      <c r="I9" s="94" t="s">
        <v>9</v>
      </c>
      <c r="J9" s="9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63.75" x14ac:dyDescent="0.2">
      <c r="A10" s="26" t="s">
        <v>65</v>
      </c>
      <c r="B10" s="23">
        <v>6</v>
      </c>
      <c r="C10" s="28" t="s">
        <v>55</v>
      </c>
      <c r="D10" s="29" t="s">
        <v>61</v>
      </c>
      <c r="E10" s="30" t="s">
        <v>81</v>
      </c>
      <c r="F10" s="30" t="s">
        <v>79</v>
      </c>
      <c r="G10" s="95" t="s">
        <v>85</v>
      </c>
      <c r="H10" s="96"/>
      <c r="I10" s="95" t="s">
        <v>86</v>
      </c>
      <c r="J10" s="9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7.5" x14ac:dyDescent="0.2">
      <c r="A11" s="27" t="s">
        <v>66</v>
      </c>
      <c r="B11" s="2">
        <v>12</v>
      </c>
      <c r="C11" s="28" t="s">
        <v>57</v>
      </c>
      <c r="D11" s="32" t="s">
        <v>56</v>
      </c>
      <c r="E11" s="30" t="s">
        <v>82</v>
      </c>
      <c r="F11" s="30" t="s">
        <v>80</v>
      </c>
      <c r="G11" s="95" t="s">
        <v>87</v>
      </c>
      <c r="H11" s="96"/>
      <c r="I11" s="67" t="s">
        <v>88</v>
      </c>
      <c r="J11" s="88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3" x14ac:dyDescent="0.2">
      <c r="A12" s="27" t="s">
        <v>67</v>
      </c>
      <c r="B12" s="35">
        <v>12</v>
      </c>
      <c r="C12" s="28" t="s">
        <v>57</v>
      </c>
      <c r="D12" s="32" t="s">
        <v>60</v>
      </c>
      <c r="E12" s="30" t="s">
        <v>83</v>
      </c>
      <c r="F12" s="30" t="s">
        <v>80</v>
      </c>
      <c r="G12" s="95" t="s">
        <v>89</v>
      </c>
      <c r="H12" s="96"/>
      <c r="I12" s="67" t="s">
        <v>90</v>
      </c>
      <c r="J12" s="8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85.5" customHeight="1" x14ac:dyDescent="0.2">
      <c r="A13" s="27" t="s">
        <v>67</v>
      </c>
      <c r="B13" s="35">
        <v>12</v>
      </c>
      <c r="C13" s="36" t="s">
        <v>59</v>
      </c>
      <c r="D13" s="32" t="s">
        <v>62</v>
      </c>
      <c r="E13" s="30" t="s">
        <v>83</v>
      </c>
      <c r="F13" s="30" t="s">
        <v>80</v>
      </c>
      <c r="G13" s="95" t="s">
        <v>91</v>
      </c>
      <c r="H13" s="96"/>
      <c r="I13" s="67" t="s">
        <v>92</v>
      </c>
      <c r="J13" s="88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7.5" x14ac:dyDescent="0.2">
      <c r="A14" s="27" t="s">
        <v>67</v>
      </c>
      <c r="B14" s="35">
        <v>12</v>
      </c>
      <c r="C14" s="36" t="s">
        <v>58</v>
      </c>
      <c r="D14" s="32" t="s">
        <v>63</v>
      </c>
      <c r="E14" s="30" t="s">
        <v>84</v>
      </c>
      <c r="F14" s="30" t="s">
        <v>80</v>
      </c>
      <c r="G14" s="95" t="s">
        <v>93</v>
      </c>
      <c r="H14" s="96"/>
      <c r="I14" s="67" t="s">
        <v>98</v>
      </c>
      <c r="J14" s="88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3" x14ac:dyDescent="0.2">
      <c r="A15" s="27" t="s">
        <v>67</v>
      </c>
      <c r="B15" s="35">
        <v>12</v>
      </c>
      <c r="C15" s="36" t="s">
        <v>58</v>
      </c>
      <c r="D15" s="32" t="s">
        <v>64</v>
      </c>
      <c r="E15" s="30" t="s">
        <v>83</v>
      </c>
      <c r="F15" s="30" t="s">
        <v>80</v>
      </c>
      <c r="G15" s="95" t="s">
        <v>94</v>
      </c>
      <c r="H15" s="96"/>
      <c r="I15" s="67" t="s">
        <v>49</v>
      </c>
      <c r="J15" s="88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51" x14ac:dyDescent="0.2">
      <c r="A16" s="27" t="s">
        <v>67</v>
      </c>
      <c r="B16" s="35">
        <v>12</v>
      </c>
      <c r="C16" s="36" t="s">
        <v>74</v>
      </c>
      <c r="D16" s="32" t="s">
        <v>69</v>
      </c>
      <c r="E16" s="30" t="s">
        <v>83</v>
      </c>
      <c r="F16" s="30" t="s">
        <v>80</v>
      </c>
      <c r="G16" s="95" t="s">
        <v>96</v>
      </c>
      <c r="H16" s="96"/>
      <c r="I16" s="67" t="s">
        <v>95</v>
      </c>
      <c r="J16" s="88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76.5" x14ac:dyDescent="0.2">
      <c r="A17" s="27" t="s">
        <v>67</v>
      </c>
      <c r="B17" s="35">
        <v>12</v>
      </c>
      <c r="C17" s="36" t="s">
        <v>76</v>
      </c>
      <c r="D17" s="32" t="s">
        <v>70</v>
      </c>
      <c r="E17" s="30" t="s">
        <v>83</v>
      </c>
      <c r="F17" s="30" t="s">
        <v>80</v>
      </c>
      <c r="G17" s="95" t="s">
        <v>97</v>
      </c>
      <c r="H17" s="96"/>
      <c r="I17" s="67" t="s">
        <v>95</v>
      </c>
      <c r="J17" s="88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14.75" x14ac:dyDescent="0.2">
      <c r="A18" s="27" t="s">
        <v>67</v>
      </c>
      <c r="B18" s="35">
        <v>12</v>
      </c>
      <c r="C18" s="36" t="s">
        <v>75</v>
      </c>
      <c r="D18" s="32" t="s">
        <v>71</v>
      </c>
      <c r="E18" s="30" t="s">
        <v>83</v>
      </c>
      <c r="F18" s="30" t="s">
        <v>80</v>
      </c>
      <c r="G18" s="95" t="s">
        <v>99</v>
      </c>
      <c r="H18" s="96"/>
      <c r="I18" s="67" t="s">
        <v>103</v>
      </c>
      <c r="J18" s="88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76.5" x14ac:dyDescent="0.2">
      <c r="A19" s="27" t="s">
        <v>68</v>
      </c>
      <c r="B19" s="35">
        <v>6</v>
      </c>
      <c r="C19" s="36" t="s">
        <v>78</v>
      </c>
      <c r="D19" s="32" t="s">
        <v>72</v>
      </c>
      <c r="E19" s="30" t="s">
        <v>83</v>
      </c>
      <c r="F19" s="30" t="s">
        <v>80</v>
      </c>
      <c r="G19" s="95" t="s">
        <v>100</v>
      </c>
      <c r="H19" s="96"/>
      <c r="I19" s="67" t="s">
        <v>104</v>
      </c>
      <c r="J19" s="88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63.75" x14ac:dyDescent="0.2">
      <c r="A20" s="27" t="s">
        <v>67</v>
      </c>
      <c r="B20" s="35">
        <v>12</v>
      </c>
      <c r="C20" s="31" t="s">
        <v>77</v>
      </c>
      <c r="D20" s="32" t="s">
        <v>73</v>
      </c>
      <c r="E20" s="30" t="s">
        <v>84</v>
      </c>
      <c r="F20" s="30" t="s">
        <v>80</v>
      </c>
      <c r="G20" s="67" t="s">
        <v>101</v>
      </c>
      <c r="H20" s="68"/>
      <c r="I20" s="69" t="s">
        <v>102</v>
      </c>
      <c r="J20" s="7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customHeight="1" x14ac:dyDescent="0.2">
      <c r="A21" s="20" t="s">
        <v>35</v>
      </c>
      <c r="B21" s="33">
        <f>SUM(B7:B20)</f>
        <v>120</v>
      </c>
      <c r="C21" s="14"/>
      <c r="D21" s="14"/>
      <c r="E21" s="14"/>
      <c r="F21" s="15"/>
      <c r="G21" s="71"/>
      <c r="H21" s="72"/>
      <c r="I21" s="73"/>
      <c r="J21" s="7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4" customHeight="1" x14ac:dyDescent="0.2">
      <c r="A22" s="38" t="s">
        <v>41</v>
      </c>
      <c r="B22" s="39"/>
      <c r="C22" s="39"/>
      <c r="D22" s="39"/>
      <c r="E22" s="39"/>
      <c r="F22" s="39"/>
      <c r="G22" s="39"/>
      <c r="H22" s="39"/>
      <c r="I22" s="39"/>
      <c r="J22" s="4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8" customHeight="1" x14ac:dyDescent="0.2">
      <c r="A23" s="41" t="s">
        <v>28</v>
      </c>
      <c r="B23" s="41"/>
      <c r="C23" s="41"/>
      <c r="D23" s="41"/>
      <c r="E23" s="41"/>
      <c r="F23" s="41"/>
      <c r="G23" s="41"/>
      <c r="H23" s="41"/>
      <c r="I23" s="41"/>
      <c r="J23" s="4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63.75" customHeight="1" x14ac:dyDescent="0.2">
      <c r="A24" s="37" t="s">
        <v>105</v>
      </c>
      <c r="B24" s="37"/>
      <c r="C24" s="37"/>
      <c r="D24" s="37"/>
      <c r="E24" s="37"/>
      <c r="F24" s="37"/>
      <c r="G24" s="37"/>
      <c r="H24" s="37"/>
      <c r="I24" s="37"/>
      <c r="J24" s="3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8" customHeight="1" x14ac:dyDescent="0.2">
      <c r="A25" s="41" t="s">
        <v>29</v>
      </c>
      <c r="B25" s="41"/>
      <c r="C25" s="41"/>
      <c r="D25" s="41"/>
      <c r="E25" s="41"/>
      <c r="F25" s="41"/>
      <c r="G25" s="41"/>
      <c r="H25" s="41"/>
      <c r="I25" s="41"/>
      <c r="J25" s="4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74.75" customHeight="1" x14ac:dyDescent="0.2">
      <c r="A26" s="37" t="s">
        <v>106</v>
      </c>
      <c r="B26" s="37"/>
      <c r="C26" s="37"/>
      <c r="D26" s="37"/>
      <c r="E26" s="37"/>
      <c r="F26" s="37"/>
      <c r="G26" s="37"/>
      <c r="H26" s="37"/>
      <c r="I26" s="37"/>
      <c r="J26" s="37"/>
      <c r="L26" s="1"/>
      <c r="M26" s="1"/>
      <c r="O26" s="1"/>
      <c r="P26" s="1"/>
      <c r="Q26" s="1"/>
      <c r="R26" s="1"/>
      <c r="T26" s="1"/>
      <c r="U26" s="1"/>
      <c r="V26" s="1"/>
      <c r="W26" s="1"/>
      <c r="X26" s="1"/>
      <c r="Z26" s="1"/>
      <c r="AA26" s="1"/>
    </row>
    <row r="27" spans="1:27" ht="18" x14ac:dyDescent="0.2">
      <c r="A27" s="41" t="s">
        <v>30</v>
      </c>
      <c r="B27" s="41"/>
      <c r="C27" s="41"/>
      <c r="D27" s="41"/>
      <c r="E27" s="41"/>
      <c r="F27" s="41"/>
      <c r="G27" s="41"/>
      <c r="H27" s="41"/>
      <c r="I27" s="41"/>
      <c r="J27" s="4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7.5" customHeight="1" x14ac:dyDescent="0.2">
      <c r="A28" s="37" t="s">
        <v>107</v>
      </c>
      <c r="B28" s="37"/>
      <c r="C28" s="37"/>
      <c r="D28" s="37"/>
      <c r="E28" s="37"/>
      <c r="F28" s="37"/>
      <c r="G28" s="37"/>
      <c r="H28" s="37"/>
      <c r="I28" s="37"/>
      <c r="J28" s="3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2.5" customHeight="1" x14ac:dyDescent="0.2">
      <c r="A29" s="45" t="s">
        <v>31</v>
      </c>
      <c r="B29" s="45"/>
      <c r="C29" s="45"/>
      <c r="D29" s="45"/>
      <c r="E29" s="45"/>
      <c r="F29" s="45"/>
      <c r="G29" s="45"/>
      <c r="H29" s="45"/>
      <c r="I29" s="45"/>
      <c r="J29" s="4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customHeight="1" x14ac:dyDescent="0.25">
      <c r="A30" s="46" t="s">
        <v>33</v>
      </c>
      <c r="B30" s="47"/>
      <c r="C30" s="47"/>
      <c r="D30" s="48" t="s">
        <v>10</v>
      </c>
      <c r="E30" s="48"/>
      <c r="F30" s="48"/>
      <c r="G30" s="49" t="s">
        <v>34</v>
      </c>
      <c r="H30" s="50"/>
      <c r="I30" s="50"/>
      <c r="J30" s="5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39.75" customHeight="1" x14ac:dyDescent="0.2">
      <c r="A31" s="47"/>
      <c r="B31" s="47"/>
      <c r="C31" s="47"/>
      <c r="D31" s="48"/>
      <c r="E31" s="48"/>
      <c r="F31" s="48"/>
      <c r="G31" s="21">
        <v>1</v>
      </c>
      <c r="H31" s="21">
        <v>2</v>
      </c>
      <c r="I31" s="22">
        <v>3</v>
      </c>
      <c r="J31" s="22">
        <v>4</v>
      </c>
      <c r="K31" s="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3.5" customHeight="1" x14ac:dyDescent="0.2">
      <c r="A32" s="58" t="s">
        <v>11</v>
      </c>
      <c r="B32" s="51" t="s">
        <v>55</v>
      </c>
      <c r="C32" s="52"/>
      <c r="D32" s="42"/>
      <c r="E32" s="43"/>
      <c r="F32" s="44"/>
      <c r="G32" s="7"/>
      <c r="H32" s="18"/>
      <c r="I32" s="19"/>
      <c r="J32" s="1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43.5" customHeight="1" x14ac:dyDescent="0.2">
      <c r="A33" s="59"/>
      <c r="B33" s="51"/>
      <c r="C33" s="52"/>
      <c r="D33" s="42"/>
      <c r="E33" s="43"/>
      <c r="F33" s="44"/>
      <c r="G33" s="7"/>
      <c r="H33" s="18"/>
      <c r="I33" s="19"/>
      <c r="J33" s="1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3.5" customHeight="1" x14ac:dyDescent="0.2">
      <c r="A34" s="59"/>
      <c r="B34" s="53"/>
      <c r="C34" s="54"/>
      <c r="D34" s="61"/>
      <c r="E34" s="62"/>
      <c r="F34" s="63"/>
      <c r="G34" s="7"/>
      <c r="H34" s="18"/>
      <c r="I34" s="19"/>
      <c r="J34" s="1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3.5" customHeight="1" x14ac:dyDescent="0.2">
      <c r="A35" s="59"/>
      <c r="B35" s="51"/>
      <c r="C35" s="52"/>
      <c r="D35" s="64"/>
      <c r="E35" s="65"/>
      <c r="F35" s="66"/>
      <c r="G35" s="7"/>
      <c r="H35" s="18"/>
      <c r="I35" s="19"/>
      <c r="J35" s="1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3.5" customHeight="1" x14ac:dyDescent="0.2">
      <c r="A36" s="59"/>
      <c r="B36" s="53"/>
      <c r="C36" s="54"/>
      <c r="D36" s="61"/>
      <c r="E36" s="62"/>
      <c r="F36" s="63"/>
      <c r="G36" s="7"/>
      <c r="H36" s="18"/>
      <c r="I36" s="19"/>
      <c r="J36" s="1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46.5" customHeight="1" x14ac:dyDescent="0.2">
      <c r="A37" s="59"/>
      <c r="B37" s="51"/>
      <c r="C37" s="52"/>
      <c r="D37" s="42"/>
      <c r="E37" s="43"/>
      <c r="F37" s="44"/>
      <c r="G37" s="7"/>
      <c r="H37" s="18"/>
      <c r="I37" s="14"/>
      <c r="J37" s="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46.5" customHeight="1" x14ac:dyDescent="0.2">
      <c r="A38" s="60"/>
      <c r="B38" s="53"/>
      <c r="C38" s="54"/>
      <c r="D38" s="61"/>
      <c r="E38" s="62"/>
      <c r="F38" s="63"/>
      <c r="G38" s="7"/>
      <c r="H38" s="18"/>
      <c r="I38" s="14"/>
      <c r="J38" s="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42.75" customHeight="1" x14ac:dyDescent="0.2">
      <c r="A39" s="124" t="s">
        <v>27</v>
      </c>
      <c r="B39" s="75"/>
      <c r="C39" s="76"/>
      <c r="D39" s="42"/>
      <c r="E39" s="127"/>
      <c r="F39" s="128"/>
      <c r="G39" s="7"/>
      <c r="H39" s="18"/>
      <c r="I39" s="14"/>
      <c r="J39" s="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42.75" customHeight="1" x14ac:dyDescent="0.2">
      <c r="A40" s="125"/>
      <c r="B40" s="75"/>
      <c r="C40" s="76"/>
      <c r="D40" s="84"/>
      <c r="E40" s="43"/>
      <c r="F40" s="44"/>
      <c r="G40" s="7"/>
      <c r="H40" s="18"/>
      <c r="I40" s="14"/>
      <c r="J40" s="1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42.75" customHeight="1" x14ac:dyDescent="0.2">
      <c r="A41" s="125"/>
      <c r="B41" s="75"/>
      <c r="C41" s="76"/>
      <c r="D41" s="84"/>
      <c r="E41" s="43"/>
      <c r="F41" s="44"/>
      <c r="G41" s="7"/>
      <c r="H41" s="18"/>
      <c r="I41" s="14"/>
      <c r="J41" s="1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42.75" customHeight="1" x14ac:dyDescent="0.2">
      <c r="A42" s="126"/>
      <c r="B42" s="75"/>
      <c r="C42" s="76"/>
      <c r="D42" s="84"/>
      <c r="E42" s="43"/>
      <c r="F42" s="44"/>
      <c r="G42" s="7"/>
      <c r="H42" s="18"/>
      <c r="I42" s="14"/>
      <c r="J42" s="1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122"/>
      <c r="B43" s="123"/>
      <c r="C43" s="123"/>
      <c r="D43" s="123"/>
      <c r="E43" s="123"/>
      <c r="F43" s="123"/>
      <c r="G43" s="123"/>
      <c r="H43" s="12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118" t="s">
        <v>12</v>
      </c>
      <c r="B44" s="119"/>
      <c r="C44" s="119"/>
      <c r="D44" s="119"/>
      <c r="E44" s="120"/>
      <c r="F44" s="121" t="s">
        <v>13</v>
      </c>
      <c r="G44" s="119"/>
      <c r="H44" s="12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5">
      <c r="A45" s="8">
        <v>8</v>
      </c>
      <c r="B45" s="83" t="s">
        <v>14</v>
      </c>
      <c r="C45" s="78"/>
      <c r="D45" s="78"/>
      <c r="E45" s="79"/>
      <c r="F45" s="77">
        <v>100</v>
      </c>
      <c r="G45" s="78"/>
      <c r="H45" s="7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5">
      <c r="A46" s="8">
        <v>7</v>
      </c>
      <c r="B46" s="80" t="s">
        <v>50</v>
      </c>
      <c r="C46" s="81"/>
      <c r="D46" s="81"/>
      <c r="E46" s="82"/>
      <c r="F46" s="77">
        <v>95</v>
      </c>
      <c r="G46" s="78"/>
      <c r="H46" s="7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5">
      <c r="A47" s="8">
        <v>6</v>
      </c>
      <c r="B47" s="80" t="s">
        <v>47</v>
      </c>
      <c r="C47" s="81"/>
      <c r="D47" s="81"/>
      <c r="E47" s="82"/>
      <c r="F47" s="77">
        <v>90</v>
      </c>
      <c r="G47" s="78"/>
      <c r="H47" s="7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5">
      <c r="A48" s="8">
        <v>5</v>
      </c>
      <c r="B48" s="116" t="s">
        <v>44</v>
      </c>
      <c r="C48" s="78"/>
      <c r="D48" s="78"/>
      <c r="E48" s="79"/>
      <c r="F48" s="77">
        <v>80</v>
      </c>
      <c r="G48" s="78"/>
      <c r="H48" s="7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5">
      <c r="A49" s="8">
        <v>4</v>
      </c>
      <c r="B49" s="116" t="s">
        <v>45</v>
      </c>
      <c r="C49" s="78"/>
      <c r="D49" s="78"/>
      <c r="E49" s="79"/>
      <c r="F49" s="77">
        <v>70</v>
      </c>
      <c r="G49" s="78"/>
      <c r="H49" s="7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5">
      <c r="A50" s="8">
        <v>3</v>
      </c>
      <c r="B50" s="116" t="s">
        <v>46</v>
      </c>
      <c r="C50" s="78"/>
      <c r="D50" s="78"/>
      <c r="E50" s="79"/>
      <c r="F50" s="77">
        <v>60</v>
      </c>
      <c r="G50" s="78"/>
      <c r="H50" s="7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5">
      <c r="A51" s="8">
        <v>2</v>
      </c>
      <c r="B51" s="117" t="s">
        <v>15</v>
      </c>
      <c r="C51" s="78"/>
      <c r="D51" s="78"/>
      <c r="E51" s="79"/>
      <c r="F51" s="77">
        <v>50</v>
      </c>
      <c r="G51" s="78"/>
      <c r="H51" s="7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5">
      <c r="A52" s="8">
        <v>1</v>
      </c>
      <c r="B52" s="83" t="s">
        <v>16</v>
      </c>
      <c r="C52" s="78"/>
      <c r="D52" s="78"/>
      <c r="E52" s="79"/>
      <c r="F52" s="77">
        <v>30</v>
      </c>
      <c r="G52" s="78"/>
      <c r="H52" s="7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">
      <c r="A53" s="9"/>
      <c r="B53" s="9"/>
      <c r="C53" s="9"/>
      <c r="D53" s="10"/>
      <c r="E53" s="10"/>
      <c r="F53" s="11"/>
      <c r="G53" s="12"/>
      <c r="H53" s="1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2"/>
      <c r="B54" s="12"/>
      <c r="C54" s="13"/>
      <c r="D54" s="16" t="s">
        <v>17</v>
      </c>
      <c r="E54" s="16" t="s">
        <v>18</v>
      </c>
      <c r="F54" s="16" t="s">
        <v>19</v>
      </c>
      <c r="G54" s="12"/>
      <c r="H54" s="1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2"/>
      <c r="B55" s="12"/>
      <c r="C55" s="12"/>
      <c r="D55" s="17" t="s">
        <v>20</v>
      </c>
      <c r="E55" s="111">
        <v>1</v>
      </c>
      <c r="F55" s="111">
        <v>0</v>
      </c>
      <c r="G55" s="49" t="s">
        <v>42</v>
      </c>
      <c r="H55" s="114" t="s">
        <v>43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2"/>
      <c r="B56" s="12"/>
      <c r="C56" s="12"/>
      <c r="D56" s="34" t="s">
        <v>21</v>
      </c>
      <c r="E56" s="112"/>
      <c r="F56" s="112"/>
      <c r="G56" s="113"/>
      <c r="H56" s="11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5.5" customHeight="1" x14ac:dyDescent="0.2">
      <c r="A57" s="129" t="s">
        <v>36</v>
      </c>
      <c r="B57" s="129"/>
      <c r="C57" s="129"/>
      <c r="D57" s="129"/>
      <c r="E57" s="129"/>
      <c r="F57" s="129"/>
      <c r="G57" s="129"/>
      <c r="H57" s="129"/>
      <c r="I57" s="129"/>
      <c r="J57" s="129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">
      <c r="A58" s="1"/>
      <c r="B58" s="1"/>
      <c r="C58" s="1"/>
      <c r="D58" s="1"/>
      <c r="E58" s="1"/>
      <c r="F58" s="4"/>
      <c r="G58" s="5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">
      <c r="A59" s="1"/>
      <c r="B59" s="1"/>
      <c r="C59" s="1"/>
      <c r="D59" s="1"/>
      <c r="E59" s="1"/>
      <c r="F59" s="4"/>
      <c r="G59" s="5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">
      <c r="A60" s="1"/>
      <c r="B60" s="1"/>
      <c r="C60" s="1"/>
      <c r="D60" s="1"/>
      <c r="E60" s="1"/>
      <c r="F60" s="4"/>
      <c r="G60" s="5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">
      <c r="A61" s="1"/>
      <c r="B61" s="1"/>
      <c r="C61" s="1"/>
      <c r="D61" s="1"/>
      <c r="E61" s="1"/>
      <c r="F61" s="4"/>
      <c r="G61" s="5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">
      <c r="A62" s="1"/>
      <c r="B62" s="1"/>
      <c r="C62" s="1"/>
      <c r="D62" s="1"/>
      <c r="E62" s="1"/>
      <c r="F62" s="4"/>
      <c r="G62" s="5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">
      <c r="A63" s="1"/>
      <c r="B63" s="1"/>
      <c r="C63" s="1"/>
      <c r="D63" s="1"/>
      <c r="E63" s="1"/>
      <c r="F63" s="4"/>
      <c r="G63" s="5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">
      <c r="A64" s="1"/>
      <c r="B64" s="1"/>
      <c r="C64" s="1"/>
      <c r="D64" s="1"/>
      <c r="E64" s="1"/>
      <c r="F64" s="4"/>
      <c r="G64" s="5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">
      <c r="A65" s="1"/>
      <c r="B65" s="1"/>
      <c r="C65" s="1"/>
      <c r="D65" s="1"/>
      <c r="E65" s="1"/>
      <c r="F65" s="4"/>
      <c r="G65" s="5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">
      <c r="A66" s="1"/>
      <c r="B66" s="1"/>
      <c r="C66" s="1"/>
      <c r="D66" s="1"/>
      <c r="E66" s="1"/>
      <c r="F66" s="4"/>
      <c r="G66" s="5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">
      <c r="A67" s="1"/>
      <c r="B67" s="1"/>
      <c r="C67" s="1"/>
      <c r="D67" s="1"/>
      <c r="E67" s="1"/>
      <c r="F67" s="4"/>
      <c r="G67" s="5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">
      <c r="A68" s="1"/>
      <c r="B68" s="1"/>
      <c r="C68" s="1"/>
      <c r="D68" s="1"/>
      <c r="E68" s="1"/>
      <c r="F68" s="4"/>
      <c r="G68" s="5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">
      <c r="A69" s="1"/>
      <c r="B69" s="1"/>
      <c r="C69" s="1"/>
      <c r="D69" s="1"/>
      <c r="E69" s="1"/>
      <c r="F69" s="4"/>
      <c r="G69" s="5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1"/>
      <c r="B70" s="1"/>
      <c r="C70" s="1"/>
      <c r="D70" s="1"/>
      <c r="E70" s="1"/>
      <c r="F70" s="4"/>
      <c r="G70" s="5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">
      <c r="A71" s="1"/>
      <c r="B71" s="1"/>
      <c r="C71" s="1"/>
      <c r="D71" s="1"/>
      <c r="E71" s="1"/>
      <c r="F71" s="4"/>
      <c r="G71" s="5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">
      <c r="A72" s="1"/>
      <c r="B72" s="1"/>
      <c r="C72" s="1"/>
      <c r="D72" s="1"/>
      <c r="E72" s="1"/>
      <c r="F72" s="4"/>
      <c r="G72" s="5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1"/>
      <c r="B73" s="1"/>
      <c r="C73" s="1"/>
      <c r="D73" s="1"/>
      <c r="E73" s="1"/>
      <c r="F73" s="4"/>
      <c r="G73" s="5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1"/>
      <c r="B74" s="1"/>
      <c r="C74" s="1"/>
      <c r="D74" s="1"/>
      <c r="E74" s="1"/>
      <c r="F74" s="4"/>
      <c r="G74" s="5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1"/>
      <c r="B75" s="1"/>
      <c r="C75" s="1"/>
      <c r="D75" s="1"/>
      <c r="E75" s="1"/>
      <c r="F75" s="4"/>
      <c r="G75" s="5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1"/>
      <c r="B76" s="1"/>
      <c r="C76" s="1"/>
      <c r="D76" s="1"/>
      <c r="E76" s="1"/>
      <c r="F76" s="4"/>
      <c r="G76" s="5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1"/>
      <c r="B77" s="1"/>
      <c r="C77" s="1"/>
      <c r="D77" s="1"/>
      <c r="E77" s="1"/>
      <c r="F77" s="4"/>
      <c r="G77" s="5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"/>
      <c r="B78" s="1"/>
      <c r="C78" s="1"/>
      <c r="D78" s="1"/>
      <c r="E78" s="1"/>
      <c r="F78" s="4"/>
      <c r="G78" s="5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1"/>
      <c r="B79" s="1"/>
      <c r="C79" s="1"/>
      <c r="D79" s="1"/>
      <c r="E79" s="1"/>
      <c r="F79" s="4"/>
      <c r="G79" s="5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1"/>
      <c r="B80" s="1"/>
      <c r="C80" s="1"/>
      <c r="D80" s="1"/>
      <c r="E80" s="1"/>
      <c r="F80" s="4"/>
      <c r="G80" s="5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1"/>
      <c r="B81" s="1"/>
      <c r="C81" s="1"/>
      <c r="D81" s="1"/>
      <c r="E81" s="1"/>
      <c r="F81" s="4"/>
      <c r="G81" s="5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1"/>
      <c r="B82" s="1"/>
      <c r="C82" s="1"/>
      <c r="D82" s="1"/>
      <c r="E82" s="1"/>
      <c r="F82" s="4"/>
      <c r="G82" s="5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1"/>
      <c r="B83" s="1"/>
      <c r="C83" s="1"/>
      <c r="D83" s="1"/>
      <c r="E83" s="1"/>
      <c r="F83" s="4"/>
      <c r="G83" s="5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1"/>
      <c r="B84" s="1"/>
      <c r="C84" s="1"/>
      <c r="D84" s="1"/>
      <c r="E84" s="1"/>
      <c r="F84" s="4"/>
      <c r="G84" s="5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1"/>
      <c r="B85" s="1"/>
      <c r="C85" s="1"/>
      <c r="D85" s="1"/>
      <c r="E85" s="1"/>
      <c r="F85" s="4"/>
      <c r="G85" s="5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1"/>
      <c r="C86" s="1"/>
      <c r="D86" s="1"/>
      <c r="E86" s="1"/>
      <c r="F86" s="4"/>
      <c r="G86" s="5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1"/>
      <c r="B87" s="1"/>
      <c r="C87" s="1"/>
      <c r="D87" s="1"/>
      <c r="E87" s="1"/>
      <c r="F87" s="4"/>
      <c r="G87" s="5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1"/>
      <c r="B88" s="1"/>
      <c r="C88" s="1"/>
      <c r="D88" s="1"/>
      <c r="E88" s="1"/>
      <c r="F88" s="4"/>
      <c r="G88" s="5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1"/>
      <c r="B89" s="1"/>
      <c r="C89" s="1"/>
      <c r="D89" s="1"/>
      <c r="E89" s="1"/>
      <c r="F89" s="4"/>
      <c r="G89" s="5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1"/>
      <c r="B90" s="1"/>
      <c r="C90" s="1"/>
      <c r="D90" s="1"/>
      <c r="E90" s="1"/>
      <c r="F90" s="4"/>
      <c r="G90" s="5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1"/>
      <c r="B93" s="1"/>
      <c r="C93" s="1"/>
      <c r="D93" s="1"/>
      <c r="E93" s="1"/>
      <c r="F93" s="4"/>
      <c r="G93" s="5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"/>
      <c r="B94" s="1"/>
      <c r="C94" s="1"/>
      <c r="D94" s="1"/>
      <c r="E94" s="1"/>
      <c r="F94" s="4"/>
      <c r="G94" s="5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"/>
      <c r="B95" s="1"/>
      <c r="C95" s="1"/>
      <c r="D95" s="1"/>
      <c r="E95" s="1"/>
      <c r="F95" s="4"/>
      <c r="G95" s="5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"/>
      <c r="B96" s="1"/>
      <c r="C96" s="1"/>
      <c r="D96" s="1"/>
      <c r="E96" s="1"/>
      <c r="F96" s="4"/>
      <c r="G96" s="5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1"/>
      <c r="B97" s="1"/>
      <c r="C97" s="1"/>
      <c r="D97" s="1"/>
      <c r="E97" s="1"/>
      <c r="F97" s="4"/>
      <c r="G97" s="5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1"/>
      <c r="B98" s="1"/>
      <c r="C98" s="1"/>
      <c r="D98" s="1"/>
      <c r="E98" s="1"/>
      <c r="F98" s="4"/>
      <c r="G98" s="5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1"/>
      <c r="C99" s="1"/>
      <c r="D99" s="1"/>
      <c r="E99" s="1"/>
      <c r="F99" s="4"/>
      <c r="G99" s="5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/>
      <c r="C100" s="1"/>
      <c r="D100" s="1"/>
      <c r="E100" s="1"/>
      <c r="F100" s="4"/>
      <c r="G100" s="5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/>
      <c r="C101" s="1"/>
      <c r="D101" s="1"/>
      <c r="E101" s="1"/>
      <c r="F101" s="4"/>
      <c r="G101" s="5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1"/>
      <c r="C102" s="1"/>
      <c r="D102" s="1"/>
      <c r="E102" s="1"/>
      <c r="F102" s="4"/>
      <c r="G102" s="5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/>
      <c r="C103" s="1"/>
      <c r="D103" s="1"/>
      <c r="E103" s="1"/>
      <c r="F103" s="4"/>
      <c r="G103" s="5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/>
      <c r="C104" s="1"/>
      <c r="D104" s="1"/>
      <c r="E104" s="1"/>
      <c r="F104" s="4"/>
      <c r="G104" s="5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4"/>
      <c r="G105" s="5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1"/>
      <c r="C106" s="1"/>
      <c r="D106" s="1"/>
      <c r="E106" s="1"/>
      <c r="F106" s="4"/>
      <c r="G106" s="5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/>
      <c r="C107" s="1"/>
      <c r="D107" s="1"/>
      <c r="E107" s="1"/>
      <c r="F107" s="4"/>
      <c r="G107" s="5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/>
      <c r="C108" s="1"/>
      <c r="D108" s="1"/>
      <c r="E108" s="1"/>
      <c r="F108" s="4"/>
      <c r="G108" s="5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1"/>
      <c r="C109" s="1"/>
      <c r="D109" s="1"/>
      <c r="E109" s="1"/>
      <c r="F109" s="4"/>
      <c r="G109" s="5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/>
      <c r="C110" s="1"/>
      <c r="D110" s="1"/>
      <c r="E110" s="1"/>
      <c r="F110" s="4"/>
      <c r="G110" s="5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/>
      <c r="C111" s="1"/>
      <c r="D111" s="1"/>
      <c r="E111" s="1"/>
      <c r="F111" s="4"/>
      <c r="G111" s="5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4"/>
      <c r="G112" s="5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1"/>
      <c r="C113" s="1"/>
      <c r="D113" s="1"/>
      <c r="E113" s="1"/>
      <c r="F113" s="4"/>
      <c r="G113" s="5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/>
      <c r="C114" s="1"/>
      <c r="D114" s="1"/>
      <c r="E114" s="1"/>
      <c r="F114" s="4"/>
      <c r="G114" s="5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/>
      <c r="C115" s="1"/>
      <c r="D115" s="1"/>
      <c r="E115" s="1"/>
      <c r="F115" s="4"/>
      <c r="G115" s="5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1"/>
      <c r="C116" s="1"/>
      <c r="D116" s="1"/>
      <c r="E116" s="1"/>
      <c r="F116" s="4"/>
      <c r="G116" s="5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/>
      <c r="C117" s="1"/>
      <c r="D117" s="1"/>
      <c r="E117" s="1"/>
      <c r="F117" s="4"/>
      <c r="G117" s="5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4"/>
      <c r="G118" s="5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1"/>
      <c r="C119" s="1"/>
      <c r="D119" s="1"/>
      <c r="E119" s="1"/>
      <c r="F119" s="4"/>
      <c r="G119" s="5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/>
      <c r="C120" s="1"/>
      <c r="D120" s="1"/>
      <c r="E120" s="1"/>
      <c r="F120" s="4"/>
      <c r="G120" s="5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/>
      <c r="C121" s="1"/>
      <c r="D121" s="1"/>
      <c r="E121" s="1"/>
      <c r="F121" s="4"/>
      <c r="G121" s="5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/>
      <c r="C122" s="1"/>
      <c r="D122" s="1"/>
      <c r="E122" s="1"/>
      <c r="F122" s="4"/>
      <c r="G122" s="5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/>
      <c r="C123" s="1"/>
      <c r="D123" s="1"/>
      <c r="E123" s="1"/>
      <c r="F123" s="4"/>
      <c r="G123" s="5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/>
      <c r="C124" s="1"/>
      <c r="D124" s="1"/>
      <c r="E124" s="1"/>
      <c r="F124" s="4"/>
      <c r="G124" s="5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/>
      <c r="C125" s="1"/>
      <c r="D125" s="1"/>
      <c r="E125" s="1"/>
      <c r="F125" s="4"/>
      <c r="G125" s="5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4"/>
      <c r="G126" s="5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4"/>
      <c r="G127" s="5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4"/>
      <c r="G128" s="5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">
      <c r="A177" s="1"/>
      <c r="B177" s="1"/>
      <c r="C177" s="1"/>
      <c r="D177" s="1"/>
      <c r="E177" s="1"/>
      <c r="F177" s="4"/>
      <c r="G177" s="5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">
      <c r="A178" s="1"/>
      <c r="B178" s="1"/>
      <c r="C178" s="1"/>
      <c r="D178" s="1"/>
      <c r="E178" s="1"/>
      <c r="F178" s="4"/>
      <c r="G178" s="5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">
      <c r="A179" s="1"/>
      <c r="B179" s="1"/>
      <c r="C179" s="1"/>
      <c r="D179" s="1"/>
      <c r="E179" s="1"/>
      <c r="F179" s="4"/>
      <c r="G179" s="5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">
      <c r="A180" s="1"/>
      <c r="B180" s="1"/>
      <c r="C180" s="1"/>
      <c r="D180" s="1"/>
      <c r="E180" s="1"/>
      <c r="F180" s="4"/>
      <c r="G180" s="5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">
      <c r="A181" s="1"/>
      <c r="B181" s="1"/>
      <c r="C181" s="1"/>
      <c r="D181" s="1"/>
      <c r="E181" s="1"/>
      <c r="F181" s="4"/>
      <c r="G181" s="5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">
      <c r="A182" s="1"/>
      <c r="B182" s="1"/>
      <c r="C182" s="1"/>
      <c r="D182" s="1"/>
      <c r="E182" s="1"/>
      <c r="F182" s="4"/>
      <c r="G182" s="5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">
      <c r="A183" s="1"/>
      <c r="B183" s="1"/>
      <c r="C183" s="1"/>
      <c r="D183" s="1"/>
      <c r="E183" s="1"/>
      <c r="F183" s="4"/>
      <c r="G183" s="5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">
      <c r="A184" s="1"/>
      <c r="B184" s="1"/>
      <c r="C184" s="1"/>
      <c r="D184" s="1"/>
      <c r="E184" s="1"/>
      <c r="F184" s="4"/>
      <c r="G184" s="5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</sheetData>
  <mergeCells count="101">
    <mergeCell ref="A57:J57"/>
    <mergeCell ref="G12:H12"/>
    <mergeCell ref="I12:J12"/>
    <mergeCell ref="I13:J13"/>
    <mergeCell ref="G13:H13"/>
    <mergeCell ref="G14:H14"/>
    <mergeCell ref="I14:J14"/>
    <mergeCell ref="G15:H15"/>
    <mergeCell ref="I15:J15"/>
    <mergeCell ref="G18:H18"/>
    <mergeCell ref="I18:J18"/>
    <mergeCell ref="G16:H16"/>
    <mergeCell ref="I16:J16"/>
    <mergeCell ref="A1:J1"/>
    <mergeCell ref="G2:H2"/>
    <mergeCell ref="C2:D3"/>
    <mergeCell ref="I3:J3"/>
    <mergeCell ref="E2:F2"/>
    <mergeCell ref="E3:F3"/>
    <mergeCell ref="A2:B3"/>
    <mergeCell ref="G3:H3"/>
    <mergeCell ref="E55:E56"/>
    <mergeCell ref="F55:F56"/>
    <mergeCell ref="G55:G56"/>
    <mergeCell ref="H55:H56"/>
    <mergeCell ref="B48:E48"/>
    <mergeCell ref="F48:H48"/>
    <mergeCell ref="B49:E49"/>
    <mergeCell ref="F49:H49"/>
    <mergeCell ref="B50:E50"/>
    <mergeCell ref="F50:H50"/>
    <mergeCell ref="G17:H17"/>
    <mergeCell ref="B51:E51"/>
    <mergeCell ref="F51:H51"/>
    <mergeCell ref="B52:E52"/>
    <mergeCell ref="F52:H52"/>
    <mergeCell ref="F47:H47"/>
    <mergeCell ref="I2:J2"/>
    <mergeCell ref="I11:J11"/>
    <mergeCell ref="A6:B7"/>
    <mergeCell ref="C4:D5"/>
    <mergeCell ref="C6:D7"/>
    <mergeCell ref="A4:B5"/>
    <mergeCell ref="A8:J8"/>
    <mergeCell ref="I9:J9"/>
    <mergeCell ref="I10:J10"/>
    <mergeCell ref="G9:H9"/>
    <mergeCell ref="G10:H10"/>
    <mergeCell ref="G11:H11"/>
    <mergeCell ref="E4:F4"/>
    <mergeCell ref="E5:F5"/>
    <mergeCell ref="B42:C42"/>
    <mergeCell ref="F46:H46"/>
    <mergeCell ref="B47:E47"/>
    <mergeCell ref="B45:E45"/>
    <mergeCell ref="F45:H45"/>
    <mergeCell ref="B46:E46"/>
    <mergeCell ref="D42:F42"/>
    <mergeCell ref="G4:J4"/>
    <mergeCell ref="G5:J7"/>
    <mergeCell ref="A44:E44"/>
    <mergeCell ref="F44:H44"/>
    <mergeCell ref="A43:H43"/>
    <mergeCell ref="B41:C41"/>
    <mergeCell ref="D41:F41"/>
    <mergeCell ref="A39:A42"/>
    <mergeCell ref="B39:C39"/>
    <mergeCell ref="D39:F39"/>
    <mergeCell ref="B40:C40"/>
    <mergeCell ref="D40:F40"/>
    <mergeCell ref="I17:J17"/>
    <mergeCell ref="G19:H19"/>
    <mergeCell ref="I19:J19"/>
    <mergeCell ref="E6:F7"/>
    <mergeCell ref="A28:J28"/>
    <mergeCell ref="B37:C38"/>
    <mergeCell ref="B35:C36"/>
    <mergeCell ref="A32:A38"/>
    <mergeCell ref="D34:F34"/>
    <mergeCell ref="D36:F36"/>
    <mergeCell ref="D38:F38"/>
    <mergeCell ref="D35:F35"/>
    <mergeCell ref="G20:H20"/>
    <mergeCell ref="I20:J20"/>
    <mergeCell ref="G21:H21"/>
    <mergeCell ref="I21:J21"/>
    <mergeCell ref="A26:J26"/>
    <mergeCell ref="A22:J22"/>
    <mergeCell ref="A23:J23"/>
    <mergeCell ref="A25:J25"/>
    <mergeCell ref="A24:J24"/>
    <mergeCell ref="D37:F37"/>
    <mergeCell ref="A29:J29"/>
    <mergeCell ref="A30:C31"/>
    <mergeCell ref="D30:F31"/>
    <mergeCell ref="G30:J30"/>
    <mergeCell ref="D32:F32"/>
    <mergeCell ref="B33:C34"/>
    <mergeCell ref="B32:C32"/>
    <mergeCell ref="D33:F33"/>
    <mergeCell ref="A27:J27"/>
  </mergeCells>
  <phoneticPr fontId="32" type="noConversion"/>
  <printOptions horizontalCentered="1"/>
  <pageMargins left="0.51181102362204722" right="0.51181102362204722" top="0.78740157480314965" bottom="0.78740157480314965" header="0" footer="0"/>
  <pageSetup paperSize="9" scale="8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Ensino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DESENVOLVIMENTO</cp:lastModifiedBy>
  <cp:lastPrinted>2024-09-27T22:52:57Z</cp:lastPrinted>
  <dcterms:created xsi:type="dcterms:W3CDTF">2014-10-03T14:17:32Z</dcterms:created>
  <dcterms:modified xsi:type="dcterms:W3CDTF">2026-03-16T12:38:10Z</dcterms:modified>
</cp:coreProperties>
</file>