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sn1089986\Downloads\"/>
    </mc:Choice>
  </mc:AlternateContent>
  <xr:revisionPtr revIDLastSave="0" documentId="8_{8A9F98FD-10E2-410B-8537-BD64D9F7B23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  <sheet name="vistos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" i="1" l="1"/>
  <c r="A34" i="1"/>
  <c r="B34" i="1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3" i="1"/>
  <c r="B33" i="1"/>
  <c r="A4" i="1"/>
  <c r="B4" i="1"/>
  <c r="A5" i="1"/>
  <c r="B5" i="1"/>
  <c r="A6" i="1"/>
  <c r="B6" i="1"/>
  <c r="A7" i="1"/>
  <c r="B7" i="1"/>
  <c r="A8" i="1"/>
  <c r="B8" i="1"/>
  <c r="A9" i="1"/>
  <c r="B9" i="1"/>
  <c r="A10" i="1"/>
  <c r="B10" i="1"/>
  <c r="A11" i="1"/>
  <c r="B11" i="1"/>
  <c r="A12" i="1"/>
  <c r="B12" i="1"/>
  <c r="A13" i="1"/>
  <c r="B13" i="1"/>
  <c r="A14" i="1"/>
  <c r="B14" i="1"/>
  <c r="A15" i="1"/>
  <c r="B15" i="1"/>
  <c r="A16" i="1"/>
  <c r="B16" i="1"/>
  <c r="A17" i="1"/>
  <c r="B17" i="1"/>
  <c r="A18" i="1"/>
  <c r="B18" i="1"/>
  <c r="A19" i="1"/>
  <c r="B19" i="1"/>
  <c r="A20" i="1"/>
  <c r="B20" i="1"/>
  <c r="A21" i="1"/>
  <c r="B21" i="1"/>
  <c r="A22" i="1"/>
  <c r="B22" i="1"/>
  <c r="A23" i="1"/>
  <c r="B23" i="1"/>
  <c r="A24" i="1"/>
  <c r="B24" i="1"/>
  <c r="A25" i="1"/>
  <c r="B25" i="1"/>
  <c r="A26" i="1"/>
  <c r="B26" i="1"/>
  <c r="A27" i="1"/>
  <c r="B27" i="1"/>
  <c r="A28" i="1"/>
  <c r="B28" i="1"/>
  <c r="A29" i="1"/>
  <c r="B29" i="1"/>
  <c r="A30" i="1"/>
  <c r="B30" i="1"/>
  <c r="A31" i="1"/>
  <c r="B31" i="1"/>
  <c r="A32" i="1"/>
  <c r="B32" i="1"/>
  <c r="A3" i="4"/>
  <c r="B3" i="1"/>
  <c r="A3" i="1"/>
</calcChain>
</file>

<file path=xl/sharedStrings.xml><?xml version="1.0" encoding="utf-8"?>
<sst xmlns="http://schemas.openxmlformats.org/spreadsheetml/2006/main" count="284" uniqueCount="41">
  <si>
    <t>Aluno</t>
  </si>
  <si>
    <t>Orden</t>
  </si>
  <si>
    <t>RM</t>
  </si>
  <si>
    <t>Ana Beatriz Alves de Lima</t>
  </si>
  <si>
    <t>Bianca Giovedy Pagotto</t>
  </si>
  <si>
    <t>Breno Frazão Callegari</t>
  </si>
  <si>
    <t>Davi Cruz Oliveira</t>
  </si>
  <si>
    <t>Eduardo Moretti Varotti</t>
  </si>
  <si>
    <t>Gabriela Leticia da Silva</t>
  </si>
  <si>
    <t>Geovanna Martins Bertuol</t>
  </si>
  <si>
    <t>Giulia de Godoi Silveira</t>
  </si>
  <si>
    <t>Gustavo Ferelli</t>
  </si>
  <si>
    <t>Heitor Dorigan de Angeli</t>
  </si>
  <si>
    <t>Helena Politti Rossi</t>
  </si>
  <si>
    <t>Isabela Marchiori Ferreira</t>
  </si>
  <si>
    <t>Isabelle Caroline Vizeu de Salles</t>
  </si>
  <si>
    <t>Leandro Imenes de Oliveira</t>
  </si>
  <si>
    <t>Letícia Aparecida Pinto de Souza</t>
  </si>
  <si>
    <t>Luana Gabrielle de Oliveira</t>
  </si>
  <si>
    <t>Marina Henrique Moretti</t>
  </si>
  <si>
    <t>Matheus Dorigan Paiato</t>
  </si>
  <si>
    <t>Maycon Silva Gonçalves de Lima</t>
  </si>
  <si>
    <t>Nicolas Augusto dos Reis Lira</t>
  </si>
  <si>
    <t>Otávio Augusto Barbosa</t>
  </si>
  <si>
    <t>Pedro Henrique Souza Guarizo</t>
  </si>
  <si>
    <t>Renan Pavan Fazullo</t>
  </si>
  <si>
    <t>Sara de Paula Souza</t>
  </si>
  <si>
    <t>Sofia Ohashi Faria</t>
  </si>
  <si>
    <t>Tobias Gabriel Bueno de Godoi</t>
  </si>
  <si>
    <t>Víctor Henrique Santana Alves</t>
  </si>
  <si>
    <t>Vitória Bueno da Silva</t>
  </si>
  <si>
    <t>P</t>
  </si>
  <si>
    <t>F</t>
  </si>
  <si>
    <t>TER</t>
  </si>
  <si>
    <t>QUI</t>
  </si>
  <si>
    <t>Giuseppe de Moraes Vieira</t>
  </si>
  <si>
    <t>Samyra Leite da Silva Ferreira</t>
  </si>
  <si>
    <t>carnaval</t>
  </si>
  <si>
    <t>Larissa Guarizo Tolloto</t>
  </si>
  <si>
    <t>Liara Guarizo Tolloto</t>
  </si>
  <si>
    <t>4P/4F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</si>
</sst>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2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0">
    <xf numFmtId="0" fontId="0" fillId="0" borderId="0" xfId="0"/>
    <xf numFmtId="16" fontId="0" fillId="0" borderId="0" xfId="0" applyNumberFormat="1"/>
    <xf numFmtId="0" fontId="1" fillId="0" borderId="0" xfId="0" applyFont="1"/>
    <xf numFmtId="16" fontId="1" fillId="0" borderId="0" xfId="0" applyNumberFormat="1" applyFont="1"/>
    <xf numFmtId="16" fontId="2" fillId="0" borderId="0" xfId="0" applyNumberFormat="1" applyFont="1"/>
    <xf numFmtId="0" fontId="2" fillId="0" borderId="0" xfId="0" applyFont="1"/>
    <xf numFmtId="9" fontId="2" fillId="0" borderId="0" xfId="0" applyNumberFormat="1" applyFont="1"/>
    <xf numFmtId="9" fontId="2" fillId="0" borderId="0" xfId="1" applyFont="1"/>
    <xf numFmtId="0" fontId="5" fillId="0" borderId="0" xfId="0" applyFont="1"/>
    <xf numFmtId="0" fontId="6" fillId="0" borderId="0" xfId="0" applyFont="1" applyAlignment="1">
      <alignment horizontal="center" vertical="center" textRotation="255"/>
    </xf>
  </cellXfs>
  <cellStyles count="2">
    <cellStyle name="Normal" xfId="0" builtinId="0"/>
    <cellStyle name="Porcentagem" xfId="1" builtinId="5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4"/>
  <sheetViews>
    <sheetView tabSelected="1" zoomScaleNormal="100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S26" sqref="S26"/>
    </sheetView>
  </sheetViews>
  <sheetFormatPr defaultColWidth="6.7109375" defaultRowHeight="15" x14ac:dyDescent="0.25"/>
  <cols>
    <col min="1" max="1" width="9" bestFit="1" customWidth="1"/>
    <col min="2" max="2" width="34" bestFit="1" customWidth="1"/>
    <col min="3" max="3" width="6.5703125" bestFit="1" customWidth="1"/>
    <col min="4" max="50" width="7.7109375" customWidth="1"/>
    <col min="51" max="51" width="7.7109375" style="5" customWidth="1"/>
    <col min="52" max="106" width="7.7109375" customWidth="1"/>
  </cols>
  <sheetData>
    <row r="1" spans="1:123" x14ac:dyDescent="0.25">
      <c r="D1" s="1" t="s">
        <v>33</v>
      </c>
      <c r="E1" s="1" t="s">
        <v>34</v>
      </c>
      <c r="F1" s="1" t="s">
        <v>33</v>
      </c>
      <c r="G1" s="1" t="s">
        <v>34</v>
      </c>
      <c r="H1" s="1" t="s">
        <v>33</v>
      </c>
      <c r="I1" s="1" t="s">
        <v>34</v>
      </c>
      <c r="J1" s="1" t="s">
        <v>33</v>
      </c>
      <c r="K1" s="1" t="s">
        <v>34</v>
      </c>
      <c r="L1" s="1" t="s">
        <v>33</v>
      </c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3"/>
      <c r="AV1" s="3"/>
      <c r="AW1" s="3"/>
      <c r="AX1" s="1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1"/>
      <c r="CI1" s="4"/>
      <c r="CJ1" s="4"/>
      <c r="CK1" s="4"/>
      <c r="CL1" s="4"/>
      <c r="CM1" s="4"/>
    </row>
    <row r="2" spans="1:123" x14ac:dyDescent="0.25">
      <c r="A2" t="s">
        <v>2</v>
      </c>
      <c r="B2" t="s">
        <v>0</v>
      </c>
      <c r="C2" t="s">
        <v>1</v>
      </c>
      <c r="D2" s="1">
        <v>46049</v>
      </c>
      <c r="E2" s="1">
        <v>46051</v>
      </c>
      <c r="F2" s="1">
        <v>46055</v>
      </c>
      <c r="G2" s="1">
        <v>46057</v>
      </c>
      <c r="H2" s="1">
        <v>46063</v>
      </c>
      <c r="I2" s="1">
        <v>46065</v>
      </c>
      <c r="J2" s="1">
        <v>46070</v>
      </c>
      <c r="K2" s="1">
        <v>46072</v>
      </c>
      <c r="L2" s="1">
        <v>46077</v>
      </c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U2" s="2"/>
      <c r="AV2" s="2"/>
      <c r="AW2" s="2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</row>
    <row r="3" spans="1:123" x14ac:dyDescent="0.25">
      <c r="A3">
        <f>alunos!A2</f>
        <v>0</v>
      </c>
      <c r="B3" t="str">
        <f>alunos!B2</f>
        <v>Ana Beatriz Alves de Lima</v>
      </c>
      <c r="C3">
        <v>1</v>
      </c>
      <c r="D3" t="s">
        <v>31</v>
      </c>
      <c r="E3" t="s">
        <v>31</v>
      </c>
      <c r="F3" t="s">
        <v>31</v>
      </c>
      <c r="G3" t="s">
        <v>31</v>
      </c>
      <c r="H3" t="s">
        <v>31</v>
      </c>
      <c r="I3" t="s">
        <v>31</v>
      </c>
      <c r="J3" s="9" t="s">
        <v>37</v>
      </c>
      <c r="K3" t="s">
        <v>31</v>
      </c>
      <c r="L3" t="s">
        <v>31</v>
      </c>
      <c r="AU3" s="2"/>
      <c r="AV3" s="2"/>
      <c r="AW3" s="2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  <c r="DE3" s="5"/>
      <c r="DF3" s="5"/>
      <c r="DG3" s="5"/>
      <c r="DH3" s="5"/>
      <c r="DI3" s="5"/>
      <c r="DJ3" s="5"/>
      <c r="DK3" s="5"/>
      <c r="DL3" s="5"/>
      <c r="DM3" s="5"/>
      <c r="DN3" s="5"/>
      <c r="DO3" s="5"/>
      <c r="DP3" s="5"/>
      <c r="DQ3" s="5"/>
      <c r="DR3" s="5"/>
      <c r="DS3" s="5"/>
    </row>
    <row r="4" spans="1:123" x14ac:dyDescent="0.25">
      <c r="A4">
        <f>alunos!A3</f>
        <v>0</v>
      </c>
      <c r="B4" t="str">
        <f>alunos!B3</f>
        <v>Bianca Giovedy Pagotto</v>
      </c>
      <c r="C4">
        <v>2</v>
      </c>
      <c r="D4" t="s">
        <v>31</v>
      </c>
      <c r="E4" t="s">
        <v>31</v>
      </c>
      <c r="F4" t="s">
        <v>31</v>
      </c>
      <c r="G4" t="s">
        <v>31</v>
      </c>
      <c r="H4" t="s">
        <v>31</v>
      </c>
      <c r="I4" t="s">
        <v>31</v>
      </c>
      <c r="J4" s="9"/>
      <c r="K4" t="s">
        <v>31</v>
      </c>
      <c r="L4" t="s">
        <v>31</v>
      </c>
      <c r="AU4" s="2"/>
      <c r="AV4" s="2"/>
      <c r="AW4" s="2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</row>
    <row r="5" spans="1:123" x14ac:dyDescent="0.25">
      <c r="A5">
        <f>alunos!A4</f>
        <v>0</v>
      </c>
      <c r="B5" t="str">
        <f>alunos!B4</f>
        <v>Breno Frazão Callegari</v>
      </c>
      <c r="C5">
        <v>3</v>
      </c>
      <c r="D5" t="s">
        <v>31</v>
      </c>
      <c r="E5" t="s">
        <v>31</v>
      </c>
      <c r="F5" t="s">
        <v>31</v>
      </c>
      <c r="G5" t="s">
        <v>31</v>
      </c>
      <c r="H5" t="s">
        <v>31</v>
      </c>
      <c r="I5" t="s">
        <v>31</v>
      </c>
      <c r="J5" s="9"/>
      <c r="K5" t="s">
        <v>31</v>
      </c>
      <c r="L5" t="s">
        <v>31</v>
      </c>
      <c r="AU5" s="2"/>
      <c r="AV5" s="2"/>
      <c r="AW5" s="2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</row>
    <row r="6" spans="1:123" x14ac:dyDescent="0.25">
      <c r="A6">
        <f>alunos!A5</f>
        <v>0</v>
      </c>
      <c r="B6" t="str">
        <f>alunos!B5</f>
        <v>Davi Cruz Oliveira</v>
      </c>
      <c r="C6">
        <v>4</v>
      </c>
      <c r="D6" t="s">
        <v>31</v>
      </c>
      <c r="E6" t="s">
        <v>31</v>
      </c>
      <c r="F6" t="s">
        <v>31</v>
      </c>
      <c r="G6" t="s">
        <v>31</v>
      </c>
      <c r="H6" t="s">
        <v>31</v>
      </c>
      <c r="I6" t="s">
        <v>31</v>
      </c>
      <c r="J6" s="9"/>
      <c r="K6" t="s">
        <v>31</v>
      </c>
      <c r="L6" t="s">
        <v>31</v>
      </c>
      <c r="AU6" s="2"/>
      <c r="AV6" s="2"/>
      <c r="AW6" s="2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7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  <c r="DR6" s="5"/>
      <c r="DS6" s="5"/>
    </row>
    <row r="7" spans="1:123" x14ac:dyDescent="0.25">
      <c r="A7">
        <f>alunos!A6</f>
        <v>0</v>
      </c>
      <c r="B7" t="str">
        <f>alunos!B6</f>
        <v>Eduardo Moretti Varotti</v>
      </c>
      <c r="C7">
        <v>5</v>
      </c>
      <c r="D7" t="s">
        <v>31</v>
      </c>
      <c r="E7" t="s">
        <v>31</v>
      </c>
      <c r="F7" t="s">
        <v>31</v>
      </c>
      <c r="G7" t="s">
        <v>31</v>
      </c>
      <c r="H7" t="s">
        <v>31</v>
      </c>
      <c r="I7" t="s">
        <v>31</v>
      </c>
      <c r="J7" s="9"/>
      <c r="K7" t="s">
        <v>31</v>
      </c>
      <c r="L7" t="s">
        <v>31</v>
      </c>
      <c r="AU7" s="2"/>
      <c r="AV7" s="2"/>
      <c r="AW7" s="2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6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  <c r="DR7" s="5"/>
      <c r="DS7" s="5"/>
    </row>
    <row r="8" spans="1:123" x14ac:dyDescent="0.25">
      <c r="A8">
        <f>alunos!A7</f>
        <v>0</v>
      </c>
      <c r="B8" t="str">
        <f>alunos!B7</f>
        <v>Gabriela Leticia da Silva</v>
      </c>
      <c r="C8">
        <v>6</v>
      </c>
      <c r="D8" t="s">
        <v>31</v>
      </c>
      <c r="E8" t="s">
        <v>31</v>
      </c>
      <c r="F8" t="s">
        <v>31</v>
      </c>
      <c r="G8" t="s">
        <v>31</v>
      </c>
      <c r="H8" t="s">
        <v>31</v>
      </c>
      <c r="I8" t="s">
        <v>32</v>
      </c>
      <c r="J8" s="9"/>
      <c r="K8" t="s">
        <v>31</v>
      </c>
      <c r="L8" t="s">
        <v>31</v>
      </c>
      <c r="AU8" s="2"/>
      <c r="AV8" s="2"/>
      <c r="AW8" s="2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  <c r="DR8" s="5"/>
      <c r="DS8" s="5"/>
    </row>
    <row r="9" spans="1:123" x14ac:dyDescent="0.25">
      <c r="A9">
        <f>alunos!A8</f>
        <v>0</v>
      </c>
      <c r="B9" t="str">
        <f>alunos!B8</f>
        <v>Geovanna Martins Bertuol</v>
      </c>
      <c r="C9">
        <v>7</v>
      </c>
      <c r="D9" t="s">
        <v>31</v>
      </c>
      <c r="E9" t="s">
        <v>31</v>
      </c>
      <c r="F9" t="s">
        <v>31</v>
      </c>
      <c r="G9" t="s">
        <v>31</v>
      </c>
      <c r="H9" t="s">
        <v>31</v>
      </c>
      <c r="I9" t="s">
        <v>31</v>
      </c>
      <c r="J9" s="9"/>
      <c r="K9" t="s">
        <v>31</v>
      </c>
      <c r="L9" t="s">
        <v>31</v>
      </c>
      <c r="AU9" s="2"/>
      <c r="AV9" s="2"/>
      <c r="AW9" s="2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</row>
    <row r="10" spans="1:123" x14ac:dyDescent="0.25">
      <c r="A10">
        <f>alunos!A9</f>
        <v>0</v>
      </c>
      <c r="B10" t="str">
        <f>alunos!B9</f>
        <v>Giulia de Godoi Silveira</v>
      </c>
      <c r="C10">
        <v>8</v>
      </c>
      <c r="D10" t="s">
        <v>31</v>
      </c>
      <c r="E10" t="s">
        <v>31</v>
      </c>
      <c r="F10" t="s">
        <v>31</v>
      </c>
      <c r="G10" t="s">
        <v>31</v>
      </c>
      <c r="H10" t="s">
        <v>31</v>
      </c>
      <c r="I10" t="s">
        <v>31</v>
      </c>
      <c r="J10" s="9"/>
      <c r="K10" t="s">
        <v>31</v>
      </c>
      <c r="L10" t="s">
        <v>31</v>
      </c>
      <c r="N10">
        <f ca="1">RANDBETWEEN(1,32)</f>
        <v>25</v>
      </c>
      <c r="AU10" s="2"/>
      <c r="AV10" s="2"/>
      <c r="AW10" s="2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  <c r="DR10" s="5"/>
      <c r="DS10" s="5"/>
    </row>
    <row r="11" spans="1:123" x14ac:dyDescent="0.25">
      <c r="A11">
        <f>alunos!A10</f>
        <v>0</v>
      </c>
      <c r="B11" t="str">
        <f>alunos!B10</f>
        <v>Gustavo Ferelli</v>
      </c>
      <c r="C11">
        <v>9</v>
      </c>
      <c r="D11" t="s">
        <v>31</v>
      </c>
      <c r="E11" t="s">
        <v>31</v>
      </c>
      <c r="F11" t="s">
        <v>31</v>
      </c>
      <c r="G11" t="s">
        <v>31</v>
      </c>
      <c r="H11" t="s">
        <v>31</v>
      </c>
      <c r="I11" t="s">
        <v>31</v>
      </c>
      <c r="J11" s="9"/>
      <c r="K11" t="s">
        <v>32</v>
      </c>
      <c r="L11" t="s">
        <v>31</v>
      </c>
      <c r="AU11" s="2"/>
      <c r="AV11" s="2"/>
      <c r="AW11" s="2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  <c r="DR11" s="5"/>
      <c r="DS11" s="5"/>
    </row>
    <row r="12" spans="1:123" ht="15.75" customHeight="1" x14ac:dyDescent="0.25">
      <c r="A12">
        <f>alunos!A11</f>
        <v>0</v>
      </c>
      <c r="B12" t="str">
        <f>alunos!B11</f>
        <v>Heitor Dorigan de Angeli</v>
      </c>
      <c r="C12">
        <v>10</v>
      </c>
      <c r="D12" t="s">
        <v>31</v>
      </c>
      <c r="E12" t="s">
        <v>31</v>
      </c>
      <c r="F12" t="s">
        <v>31</v>
      </c>
      <c r="G12" t="s">
        <v>31</v>
      </c>
      <c r="H12" t="s">
        <v>32</v>
      </c>
      <c r="I12" t="s">
        <v>31</v>
      </c>
      <c r="J12" s="9"/>
      <c r="K12" t="s">
        <v>31</v>
      </c>
      <c r="L12" t="s">
        <v>31</v>
      </c>
      <c r="AU12" s="2"/>
      <c r="AV12" s="2"/>
      <c r="AW12" s="2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</row>
    <row r="13" spans="1:123" x14ac:dyDescent="0.25">
      <c r="A13">
        <f>alunos!A12</f>
        <v>0</v>
      </c>
      <c r="B13" t="str">
        <f>alunos!B12</f>
        <v>Helena Politti Rossi</v>
      </c>
      <c r="C13">
        <v>11</v>
      </c>
      <c r="D13" t="s">
        <v>31</v>
      </c>
      <c r="E13" t="s">
        <v>31</v>
      </c>
      <c r="F13" t="s">
        <v>31</v>
      </c>
      <c r="G13" t="s">
        <v>31</v>
      </c>
      <c r="H13" t="s">
        <v>31</v>
      </c>
      <c r="I13" t="s">
        <v>31</v>
      </c>
      <c r="J13" s="9"/>
      <c r="K13" t="s">
        <v>31</v>
      </c>
      <c r="L13" t="s">
        <v>31</v>
      </c>
      <c r="N13" s="8"/>
      <c r="AU13" s="2"/>
      <c r="AV13" s="2"/>
      <c r="AW13" s="2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  <c r="DR13" s="5"/>
      <c r="DS13" s="5"/>
    </row>
    <row r="14" spans="1:123" x14ac:dyDescent="0.25">
      <c r="A14">
        <f>alunos!A13</f>
        <v>0</v>
      </c>
      <c r="B14" t="str">
        <f>alunos!B13</f>
        <v>Isabela Marchiori Ferreira</v>
      </c>
      <c r="C14">
        <v>12</v>
      </c>
      <c r="D14" t="s">
        <v>31</v>
      </c>
      <c r="E14" t="s">
        <v>31</v>
      </c>
      <c r="F14" t="s">
        <v>31</v>
      </c>
      <c r="G14" t="s">
        <v>31</v>
      </c>
      <c r="H14" t="s">
        <v>31</v>
      </c>
      <c r="I14" t="s">
        <v>31</v>
      </c>
      <c r="J14" s="9"/>
      <c r="K14" t="s">
        <v>31</v>
      </c>
      <c r="L14" t="s">
        <v>31</v>
      </c>
      <c r="AU14" s="2"/>
      <c r="AV14" s="2"/>
      <c r="AW14" s="2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</row>
    <row r="15" spans="1:123" x14ac:dyDescent="0.25">
      <c r="A15">
        <f>alunos!A14</f>
        <v>0</v>
      </c>
      <c r="B15" t="str">
        <f>alunos!B14</f>
        <v>Isabelle Caroline Vizeu de Salles</v>
      </c>
      <c r="C15">
        <v>13</v>
      </c>
      <c r="D15" t="s">
        <v>31</v>
      </c>
      <c r="E15" t="s">
        <v>31</v>
      </c>
      <c r="F15" t="s">
        <v>31</v>
      </c>
      <c r="G15" t="s">
        <v>31</v>
      </c>
      <c r="H15" t="s">
        <v>31</v>
      </c>
      <c r="I15" t="s">
        <v>31</v>
      </c>
      <c r="J15" s="9"/>
      <c r="K15" t="s">
        <v>31</v>
      </c>
      <c r="L15" t="s">
        <v>40</v>
      </c>
      <c r="AU15" s="2"/>
      <c r="AV15" s="2"/>
      <c r="AW15" s="2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</row>
    <row r="16" spans="1:123" x14ac:dyDescent="0.25">
      <c r="A16">
        <f>alunos!A15</f>
        <v>0</v>
      </c>
      <c r="B16" t="str">
        <f>alunos!B15</f>
        <v>Leandro Imenes de Oliveira</v>
      </c>
      <c r="C16">
        <v>14</v>
      </c>
      <c r="D16" t="s">
        <v>31</v>
      </c>
      <c r="E16" t="s">
        <v>31</v>
      </c>
      <c r="F16" t="s">
        <v>31</v>
      </c>
      <c r="G16" t="s">
        <v>31</v>
      </c>
      <c r="H16" t="s">
        <v>31</v>
      </c>
      <c r="I16" t="s">
        <v>31</v>
      </c>
      <c r="J16" s="9"/>
      <c r="K16" t="s">
        <v>31</v>
      </c>
      <c r="L16" t="s">
        <v>31</v>
      </c>
      <c r="AU16" s="2"/>
      <c r="AV16" s="2"/>
      <c r="AW16" s="2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</row>
    <row r="17" spans="1:123" x14ac:dyDescent="0.25">
      <c r="A17">
        <f>alunos!A16</f>
        <v>0</v>
      </c>
      <c r="B17" t="str">
        <f>alunos!B16</f>
        <v>Letícia Aparecida Pinto de Souza</v>
      </c>
      <c r="C17">
        <v>15</v>
      </c>
      <c r="D17" t="s">
        <v>31</v>
      </c>
      <c r="E17" t="s">
        <v>31</v>
      </c>
      <c r="F17" t="s">
        <v>31</v>
      </c>
      <c r="G17" t="s">
        <v>31</v>
      </c>
      <c r="H17" t="s">
        <v>31</v>
      </c>
      <c r="I17" t="s">
        <v>31</v>
      </c>
      <c r="J17" s="9"/>
      <c r="K17" t="s">
        <v>31</v>
      </c>
      <c r="L17" t="s">
        <v>31</v>
      </c>
      <c r="AU17" s="2"/>
      <c r="AV17" s="2"/>
      <c r="AW17" s="2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</row>
    <row r="18" spans="1:123" x14ac:dyDescent="0.25">
      <c r="A18">
        <f>alunos!A17</f>
        <v>0</v>
      </c>
      <c r="B18" t="str">
        <f>alunos!B17</f>
        <v>Luana Gabrielle de Oliveira</v>
      </c>
      <c r="C18">
        <v>16</v>
      </c>
      <c r="D18" t="s">
        <v>31</v>
      </c>
      <c r="E18" t="s">
        <v>31</v>
      </c>
      <c r="F18" t="s">
        <v>31</v>
      </c>
      <c r="G18" t="s">
        <v>31</v>
      </c>
      <c r="H18" t="s">
        <v>31</v>
      </c>
      <c r="I18" t="s">
        <v>31</v>
      </c>
      <c r="J18" s="9"/>
      <c r="K18" t="s">
        <v>31</v>
      </c>
      <c r="L18" t="s">
        <v>40</v>
      </c>
      <c r="AU18" s="2"/>
      <c r="AV18" s="2"/>
      <c r="AW18" s="2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</row>
    <row r="19" spans="1:123" x14ac:dyDescent="0.25">
      <c r="A19">
        <f>alunos!A18</f>
        <v>0</v>
      </c>
      <c r="B19" t="str">
        <f>alunos!B18</f>
        <v>Marina Henrique Moretti</v>
      </c>
      <c r="C19">
        <v>17</v>
      </c>
      <c r="D19" t="s">
        <v>31</v>
      </c>
      <c r="E19" t="s">
        <v>31</v>
      </c>
      <c r="F19" t="s">
        <v>31</v>
      </c>
      <c r="G19" t="s">
        <v>31</v>
      </c>
      <c r="H19" t="s">
        <v>31</v>
      </c>
      <c r="I19" t="s">
        <v>31</v>
      </c>
      <c r="J19" s="9"/>
      <c r="K19" t="s">
        <v>31</v>
      </c>
      <c r="L19" t="s">
        <v>31</v>
      </c>
      <c r="AU19" s="2"/>
      <c r="AV19" s="2"/>
      <c r="AW19" s="2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</row>
    <row r="20" spans="1:123" x14ac:dyDescent="0.25">
      <c r="A20">
        <f>alunos!A19</f>
        <v>0</v>
      </c>
      <c r="B20" t="str">
        <f>alunos!B19</f>
        <v>Matheus Dorigan Paiato</v>
      </c>
      <c r="C20">
        <v>18</v>
      </c>
      <c r="D20" t="s">
        <v>31</v>
      </c>
      <c r="E20" t="s">
        <v>31</v>
      </c>
      <c r="F20" t="s">
        <v>31</v>
      </c>
      <c r="G20" t="s">
        <v>31</v>
      </c>
      <c r="H20" t="s">
        <v>31</v>
      </c>
      <c r="I20" t="s">
        <v>31</v>
      </c>
      <c r="J20" s="9"/>
      <c r="K20" t="s">
        <v>31</v>
      </c>
      <c r="L20" t="s">
        <v>31</v>
      </c>
      <c r="AU20" s="2"/>
      <c r="AV20" s="2"/>
      <c r="AW20" s="2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</row>
    <row r="21" spans="1:123" x14ac:dyDescent="0.25">
      <c r="A21">
        <f>alunos!A20</f>
        <v>0</v>
      </c>
      <c r="B21" t="str">
        <f>alunos!B20</f>
        <v>Maycon Silva Gonçalves de Lima</v>
      </c>
      <c r="C21">
        <v>19</v>
      </c>
      <c r="D21" t="s">
        <v>31</v>
      </c>
      <c r="E21" t="s">
        <v>31</v>
      </c>
      <c r="F21" t="s">
        <v>31</v>
      </c>
      <c r="G21" t="s">
        <v>31</v>
      </c>
      <c r="H21" t="s">
        <v>31</v>
      </c>
      <c r="I21" t="s">
        <v>31</v>
      </c>
      <c r="J21" s="9"/>
      <c r="K21" t="s">
        <v>31</v>
      </c>
      <c r="L21" t="s">
        <v>31</v>
      </c>
      <c r="AU21" s="2"/>
      <c r="AV21" s="2"/>
      <c r="AW21" s="2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</row>
    <row r="22" spans="1:123" x14ac:dyDescent="0.25">
      <c r="A22">
        <f>alunos!A21</f>
        <v>0</v>
      </c>
      <c r="B22" t="str">
        <f>alunos!B21</f>
        <v>Nicolas Augusto dos Reis Lira</v>
      </c>
      <c r="C22">
        <v>20</v>
      </c>
      <c r="D22" t="s">
        <v>31</v>
      </c>
      <c r="E22" t="s">
        <v>31</v>
      </c>
      <c r="F22" t="s">
        <v>31</v>
      </c>
      <c r="G22" t="s">
        <v>31</v>
      </c>
      <c r="H22" t="s">
        <v>31</v>
      </c>
      <c r="I22" t="s">
        <v>31</v>
      </c>
      <c r="J22" s="9"/>
      <c r="K22" t="s">
        <v>31</v>
      </c>
      <c r="L22" t="s">
        <v>31</v>
      </c>
      <c r="AU22" s="2"/>
      <c r="AV22" s="2"/>
      <c r="AW22" s="2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</row>
    <row r="23" spans="1:123" x14ac:dyDescent="0.25">
      <c r="A23">
        <f>alunos!A22</f>
        <v>0</v>
      </c>
      <c r="B23" t="str">
        <f>alunos!B22</f>
        <v>Otávio Augusto Barbosa</v>
      </c>
      <c r="C23">
        <v>21</v>
      </c>
      <c r="D23" t="s">
        <v>31</v>
      </c>
      <c r="E23" t="s">
        <v>31</v>
      </c>
      <c r="F23" t="s">
        <v>31</v>
      </c>
      <c r="G23" t="s">
        <v>31</v>
      </c>
      <c r="H23" t="s">
        <v>31</v>
      </c>
      <c r="I23" t="s">
        <v>31</v>
      </c>
      <c r="J23" s="9"/>
      <c r="K23" t="s">
        <v>31</v>
      </c>
      <c r="L23" t="s">
        <v>31</v>
      </c>
      <c r="AU23" s="2"/>
      <c r="AV23" s="2"/>
      <c r="AW23" s="2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</row>
    <row r="24" spans="1:123" x14ac:dyDescent="0.25">
      <c r="A24">
        <f>alunos!A23</f>
        <v>0</v>
      </c>
      <c r="B24" t="str">
        <f>alunos!B23</f>
        <v>Pedro Henrique Souza Guarizo</v>
      </c>
      <c r="C24">
        <v>22</v>
      </c>
      <c r="D24" t="s">
        <v>31</v>
      </c>
      <c r="E24" t="s">
        <v>31</v>
      </c>
      <c r="F24" t="s">
        <v>31</v>
      </c>
      <c r="G24" t="s">
        <v>31</v>
      </c>
      <c r="H24" t="s">
        <v>31</v>
      </c>
      <c r="I24" t="s">
        <v>31</v>
      </c>
      <c r="J24" s="9"/>
      <c r="K24" t="s">
        <v>31</v>
      </c>
      <c r="L24" t="s">
        <v>31</v>
      </c>
      <c r="AU24" s="2"/>
      <c r="AV24" s="2"/>
      <c r="AW24" s="2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</row>
    <row r="25" spans="1:123" x14ac:dyDescent="0.25">
      <c r="A25">
        <f>alunos!A24</f>
        <v>0</v>
      </c>
      <c r="B25" t="str">
        <f>alunos!B24</f>
        <v>Renan Pavan Fazullo</v>
      </c>
      <c r="C25">
        <v>23</v>
      </c>
      <c r="D25" t="s">
        <v>31</v>
      </c>
      <c r="E25" t="s">
        <v>31</v>
      </c>
      <c r="F25" t="s">
        <v>31</v>
      </c>
      <c r="G25" t="s">
        <v>31</v>
      </c>
      <c r="H25" t="s">
        <v>31</v>
      </c>
      <c r="I25" t="s">
        <v>31</v>
      </c>
      <c r="J25" s="9"/>
      <c r="K25" t="s">
        <v>31</v>
      </c>
      <c r="L25" t="s">
        <v>31</v>
      </c>
      <c r="AU25" s="2"/>
      <c r="AV25" s="2"/>
      <c r="AW25" s="2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</row>
    <row r="26" spans="1:123" x14ac:dyDescent="0.25">
      <c r="A26">
        <f>alunos!A25</f>
        <v>0</v>
      </c>
      <c r="B26" t="str">
        <f>alunos!B25</f>
        <v>Sara de Paula Souza</v>
      </c>
      <c r="C26">
        <v>24</v>
      </c>
      <c r="D26" t="s">
        <v>31</v>
      </c>
      <c r="E26" t="s">
        <v>31</v>
      </c>
      <c r="F26" t="s">
        <v>31</v>
      </c>
      <c r="G26" t="s">
        <v>31</v>
      </c>
      <c r="H26" t="s">
        <v>31</v>
      </c>
      <c r="I26" t="s">
        <v>31</v>
      </c>
      <c r="J26" s="9"/>
      <c r="K26" t="s">
        <v>31</v>
      </c>
      <c r="L26" t="s">
        <v>31</v>
      </c>
      <c r="AU26" s="2"/>
      <c r="AV26" s="2"/>
      <c r="AW26" s="2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</row>
    <row r="27" spans="1:123" x14ac:dyDescent="0.25">
      <c r="A27">
        <f>alunos!A26</f>
        <v>0</v>
      </c>
      <c r="B27" t="str">
        <f>alunos!B26</f>
        <v>Sofia Ohashi Faria</v>
      </c>
      <c r="C27">
        <v>25</v>
      </c>
      <c r="D27" t="s">
        <v>31</v>
      </c>
      <c r="E27" t="s">
        <v>31</v>
      </c>
      <c r="F27" t="s">
        <v>31</v>
      </c>
      <c r="G27" t="s">
        <v>31</v>
      </c>
      <c r="H27" t="s">
        <v>31</v>
      </c>
      <c r="I27" t="s">
        <v>31</v>
      </c>
      <c r="J27" s="9"/>
      <c r="K27" t="s">
        <v>31</v>
      </c>
      <c r="L27" t="s">
        <v>31</v>
      </c>
      <c r="AU27" s="2"/>
      <c r="AV27" s="2"/>
      <c r="AW27" s="2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</row>
    <row r="28" spans="1:123" x14ac:dyDescent="0.25">
      <c r="A28">
        <f>alunos!A27</f>
        <v>0</v>
      </c>
      <c r="B28" t="str">
        <f>alunos!B27</f>
        <v>Tobias Gabriel Bueno de Godoi</v>
      </c>
      <c r="C28">
        <v>26</v>
      </c>
      <c r="D28" t="s">
        <v>31</v>
      </c>
      <c r="E28" t="s">
        <v>31</v>
      </c>
      <c r="F28" t="s">
        <v>31</v>
      </c>
      <c r="G28" t="s">
        <v>31</v>
      </c>
      <c r="H28" t="s">
        <v>31</v>
      </c>
      <c r="I28" t="s">
        <v>31</v>
      </c>
      <c r="J28" s="9"/>
      <c r="K28" t="s">
        <v>31</v>
      </c>
      <c r="L28" t="s">
        <v>31</v>
      </c>
      <c r="AU28" s="2"/>
      <c r="AV28" s="2"/>
      <c r="AW28" s="2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</row>
    <row r="29" spans="1:123" x14ac:dyDescent="0.25">
      <c r="A29">
        <f>alunos!A28</f>
        <v>0</v>
      </c>
      <c r="B29" t="str">
        <f>alunos!B28</f>
        <v>Víctor Henrique Santana Alves</v>
      </c>
      <c r="C29">
        <v>27</v>
      </c>
      <c r="D29" t="s">
        <v>31</v>
      </c>
      <c r="E29" t="s">
        <v>31</v>
      </c>
      <c r="F29" t="s">
        <v>31</v>
      </c>
      <c r="G29" t="s">
        <v>31</v>
      </c>
      <c r="H29" t="s">
        <v>31</v>
      </c>
      <c r="I29" t="s">
        <v>31</v>
      </c>
      <c r="J29" s="9"/>
      <c r="K29" t="s">
        <v>31</v>
      </c>
      <c r="L29" t="s">
        <v>31</v>
      </c>
      <c r="AU29" s="2"/>
      <c r="AV29" s="2"/>
      <c r="AW29" s="2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  <c r="DE29" s="5"/>
      <c r="DF29" s="5"/>
      <c r="DG29" s="5"/>
      <c r="DH29" s="5"/>
      <c r="DI29" s="5"/>
      <c r="DJ29" s="5"/>
      <c r="DK29" s="5"/>
      <c r="DL29" s="5"/>
      <c r="DM29" s="5"/>
      <c r="DN29" s="5"/>
      <c r="DO29" s="5"/>
      <c r="DP29" s="5"/>
      <c r="DQ29" s="5"/>
      <c r="DR29" s="5"/>
      <c r="DS29" s="5"/>
    </row>
    <row r="30" spans="1:123" x14ac:dyDescent="0.25">
      <c r="A30">
        <f>alunos!A29</f>
        <v>0</v>
      </c>
      <c r="B30" t="str">
        <f>alunos!B29</f>
        <v>Vitória Bueno da Silva</v>
      </c>
      <c r="C30">
        <v>28</v>
      </c>
      <c r="D30" t="s">
        <v>31</v>
      </c>
      <c r="E30" t="s">
        <v>31</v>
      </c>
      <c r="F30" t="s">
        <v>31</v>
      </c>
      <c r="G30" t="s">
        <v>31</v>
      </c>
      <c r="H30" t="s">
        <v>31</v>
      </c>
      <c r="I30" t="s">
        <v>31</v>
      </c>
      <c r="J30" s="9"/>
      <c r="K30" t="s">
        <v>31</v>
      </c>
      <c r="L30" t="s">
        <v>31</v>
      </c>
      <c r="AU30" s="2"/>
      <c r="AV30" s="2"/>
      <c r="AW30" s="2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  <c r="DE30" s="5"/>
      <c r="DF30" s="5"/>
      <c r="DG30" s="5"/>
      <c r="DH30" s="5"/>
      <c r="DI30" s="5"/>
      <c r="DJ30" s="5"/>
      <c r="DK30" s="5"/>
      <c r="DL30" s="5"/>
      <c r="DM30" s="5"/>
      <c r="DN30" s="5"/>
      <c r="DO30" s="5"/>
      <c r="DP30" s="5"/>
      <c r="DQ30" s="5"/>
      <c r="DR30" s="5"/>
      <c r="DS30" s="5"/>
    </row>
    <row r="31" spans="1:123" x14ac:dyDescent="0.25">
      <c r="A31">
        <f>alunos!A30</f>
        <v>0</v>
      </c>
      <c r="B31" t="str">
        <f>alunos!B30</f>
        <v>Giuseppe de Moraes Vieira</v>
      </c>
      <c r="C31">
        <v>29</v>
      </c>
      <c r="G31" t="s">
        <v>31</v>
      </c>
      <c r="H31" t="s">
        <v>31</v>
      </c>
      <c r="I31" t="s">
        <v>31</v>
      </c>
      <c r="J31" s="9"/>
      <c r="K31" t="s">
        <v>31</v>
      </c>
      <c r="L31" t="s">
        <v>31</v>
      </c>
    </row>
    <row r="32" spans="1:123" x14ac:dyDescent="0.25">
      <c r="A32">
        <f>alunos!A31</f>
        <v>0</v>
      </c>
      <c r="B32" t="str">
        <f>alunos!B31</f>
        <v>Samyra Leite da Silva Ferreira</v>
      </c>
      <c r="C32">
        <v>30</v>
      </c>
      <c r="G32" t="s">
        <v>31</v>
      </c>
      <c r="H32" t="s">
        <v>31</v>
      </c>
      <c r="I32" t="s">
        <v>31</v>
      </c>
      <c r="J32" s="9"/>
      <c r="K32" t="s">
        <v>31</v>
      </c>
      <c r="L32" t="s">
        <v>31</v>
      </c>
    </row>
    <row r="33" spans="1:12" x14ac:dyDescent="0.25">
      <c r="A33">
        <f>alunos!A32</f>
        <v>0</v>
      </c>
      <c r="B33" t="str">
        <f>alunos!B32</f>
        <v>Larissa Guarizo Tolloto</v>
      </c>
      <c r="C33">
        <v>31</v>
      </c>
      <c r="J33" s="9"/>
      <c r="L33" t="s">
        <v>31</v>
      </c>
    </row>
    <row r="34" spans="1:12" x14ac:dyDescent="0.25">
      <c r="A34">
        <f>alunos!A33</f>
        <v>0</v>
      </c>
      <c r="B34" t="str">
        <f>alunos!B33</f>
        <v>Liara Guarizo Tolloto</v>
      </c>
      <c r="C34">
        <v>32</v>
      </c>
      <c r="L34" t="s">
        <v>31</v>
      </c>
    </row>
  </sheetData>
  <sortState xmlns:xlrd2="http://schemas.microsoft.com/office/spreadsheetml/2017/richdata2" ref="B3:B30">
    <sortCondition ref="B3:B30"/>
  </sortState>
  <mergeCells count="1">
    <mergeCell ref="J3:J33"/>
  </mergeCells>
  <phoneticPr fontId="3" type="noConversion"/>
  <conditionalFormatting sqref="D3:J3 BE3:DG3 L3:AZ9 K3:K10 BB3:BB21 BE4:BJ9 D4:I30 BK4:DG30 L10:BA10 BC10:BJ21 K22:BJ30 K31:K33 L31:L34 H33:I33 K11:BA21">
    <cfRule type="cellIs" dxfId="1" priority="3" operator="equal">
      <formula>"F"</formula>
    </cfRule>
  </conditionalFormatting>
  <conditionalFormatting sqref="G31:I32">
    <cfRule type="cellIs" dxfId="0" priority="1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3"/>
  <sheetViews>
    <sheetView workbookViewId="0">
      <selection activeCell="B33" sqref="B33"/>
    </sheetView>
  </sheetViews>
  <sheetFormatPr defaultRowHeight="15" x14ac:dyDescent="0.25"/>
  <cols>
    <col min="1" max="1" width="9" bestFit="1" customWidth="1"/>
    <col min="2" max="2" width="34" bestFit="1" customWidth="1"/>
    <col min="3" max="3" width="42.85546875" bestFit="1" customWidth="1"/>
    <col min="4" max="4" width="35.28515625" bestFit="1" customWidth="1"/>
  </cols>
  <sheetData>
    <row r="1" spans="1:2" x14ac:dyDescent="0.25">
      <c r="A1" t="s">
        <v>2</v>
      </c>
      <c r="B1" t="s">
        <v>0</v>
      </c>
    </row>
    <row r="2" spans="1:2" x14ac:dyDescent="0.25">
      <c r="B2" t="s">
        <v>3</v>
      </c>
    </row>
    <row r="3" spans="1:2" x14ac:dyDescent="0.25">
      <c r="B3" t="s">
        <v>4</v>
      </c>
    </row>
    <row r="4" spans="1:2" x14ac:dyDescent="0.25">
      <c r="B4" t="s">
        <v>5</v>
      </c>
    </row>
    <row r="5" spans="1:2" x14ac:dyDescent="0.25">
      <c r="B5" t="s">
        <v>6</v>
      </c>
    </row>
    <row r="6" spans="1:2" x14ac:dyDescent="0.25">
      <c r="B6" t="s">
        <v>7</v>
      </c>
    </row>
    <row r="7" spans="1:2" x14ac:dyDescent="0.25">
      <c r="B7" t="s">
        <v>8</v>
      </c>
    </row>
    <row r="8" spans="1:2" x14ac:dyDescent="0.25">
      <c r="B8" t="s">
        <v>9</v>
      </c>
    </row>
    <row r="9" spans="1:2" x14ac:dyDescent="0.25">
      <c r="B9" t="s">
        <v>10</v>
      </c>
    </row>
    <row r="10" spans="1:2" x14ac:dyDescent="0.25">
      <c r="B10" t="s">
        <v>11</v>
      </c>
    </row>
    <row r="11" spans="1:2" x14ac:dyDescent="0.25">
      <c r="B11" t="s">
        <v>12</v>
      </c>
    </row>
    <row r="12" spans="1:2" x14ac:dyDescent="0.25">
      <c r="B12" t="s">
        <v>13</v>
      </c>
    </row>
    <row r="13" spans="1:2" x14ac:dyDescent="0.25">
      <c r="B13" t="s">
        <v>14</v>
      </c>
    </row>
    <row r="14" spans="1:2" x14ac:dyDescent="0.25">
      <c r="B14" t="s">
        <v>15</v>
      </c>
    </row>
    <row r="15" spans="1:2" x14ac:dyDescent="0.25">
      <c r="B15" t="s">
        <v>16</v>
      </c>
    </row>
    <row r="16" spans="1:2" x14ac:dyDescent="0.25">
      <c r="B16" t="s">
        <v>17</v>
      </c>
    </row>
    <row r="17" spans="2:2" x14ac:dyDescent="0.25">
      <c r="B17" t="s">
        <v>18</v>
      </c>
    </row>
    <row r="18" spans="2:2" x14ac:dyDescent="0.25">
      <c r="B18" t="s">
        <v>19</v>
      </c>
    </row>
    <row r="19" spans="2:2" x14ac:dyDescent="0.25">
      <c r="B19" t="s">
        <v>20</v>
      </c>
    </row>
    <row r="20" spans="2:2" x14ac:dyDescent="0.25">
      <c r="B20" t="s">
        <v>21</v>
      </c>
    </row>
    <row r="21" spans="2:2" x14ac:dyDescent="0.25">
      <c r="B21" t="s">
        <v>22</v>
      </c>
    </row>
    <row r="22" spans="2:2" x14ac:dyDescent="0.25">
      <c r="B22" t="s">
        <v>23</v>
      </c>
    </row>
    <row r="23" spans="2:2" x14ac:dyDescent="0.25">
      <c r="B23" t="s">
        <v>24</v>
      </c>
    </row>
    <row r="24" spans="2:2" x14ac:dyDescent="0.25">
      <c r="B24" t="s">
        <v>25</v>
      </c>
    </row>
    <row r="25" spans="2:2" x14ac:dyDescent="0.25">
      <c r="B25" t="s">
        <v>26</v>
      </c>
    </row>
    <row r="26" spans="2:2" x14ac:dyDescent="0.25">
      <c r="B26" t="s">
        <v>27</v>
      </c>
    </row>
    <row r="27" spans="2:2" x14ac:dyDescent="0.25">
      <c r="B27" t="s">
        <v>28</v>
      </c>
    </row>
    <row r="28" spans="2:2" x14ac:dyDescent="0.25">
      <c r="B28" t="s">
        <v>29</v>
      </c>
    </row>
    <row r="29" spans="2:2" x14ac:dyDescent="0.25">
      <c r="B29" t="s">
        <v>30</v>
      </c>
    </row>
    <row r="30" spans="2:2" x14ac:dyDescent="0.25">
      <c r="B30" t="s">
        <v>35</v>
      </c>
    </row>
    <row r="31" spans="2:2" x14ac:dyDescent="0.25">
      <c r="B31" t="s">
        <v>36</v>
      </c>
    </row>
    <row r="32" spans="2:2" x14ac:dyDescent="0.25">
      <c r="B32" t="s">
        <v>38</v>
      </c>
    </row>
    <row r="33" spans="2:2" x14ac:dyDescent="0.25">
      <c r="B33" t="s">
        <v>39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4DDCA2-EB43-4FE7-A5F4-0E4DC176FDD0}">
  <dimension ref="A2:A33"/>
  <sheetViews>
    <sheetView workbookViewId="0">
      <selection activeCell="D29" sqref="D29"/>
    </sheetView>
  </sheetViews>
  <sheetFormatPr defaultRowHeight="15" x14ac:dyDescent="0.25"/>
  <cols>
    <col min="1" max="1" width="30.28515625" bestFit="1" customWidth="1"/>
  </cols>
  <sheetData>
    <row r="2" spans="1:1" x14ac:dyDescent="0.25">
      <c r="A2" t="s">
        <v>0</v>
      </c>
    </row>
    <row r="3" spans="1:1" x14ac:dyDescent="0.25">
      <c r="A3" t="str">
        <f>alunos!B2</f>
        <v>Ana Beatriz Alves de Lima</v>
      </c>
    </row>
    <row r="4" spans="1:1" x14ac:dyDescent="0.25">
      <c r="A4" t="str">
        <f>alunos!B3</f>
        <v>Bianca Giovedy Pagotto</v>
      </c>
    </row>
    <row r="5" spans="1:1" x14ac:dyDescent="0.25">
      <c r="A5" t="str">
        <f>alunos!B4</f>
        <v>Breno Frazão Callegari</v>
      </c>
    </row>
    <row r="6" spans="1:1" x14ac:dyDescent="0.25">
      <c r="A6" t="str">
        <f>alunos!B5</f>
        <v>Davi Cruz Oliveira</v>
      </c>
    </row>
    <row r="7" spans="1:1" x14ac:dyDescent="0.25">
      <c r="A7" t="str">
        <f>alunos!B6</f>
        <v>Eduardo Moretti Varotti</v>
      </c>
    </row>
    <row r="8" spans="1:1" x14ac:dyDescent="0.25">
      <c r="A8" t="str">
        <f>alunos!B7</f>
        <v>Gabriela Leticia da Silva</v>
      </c>
    </row>
    <row r="9" spans="1:1" x14ac:dyDescent="0.25">
      <c r="A9" t="str">
        <f>alunos!B8</f>
        <v>Geovanna Martins Bertuol</v>
      </c>
    </row>
    <row r="10" spans="1:1" x14ac:dyDescent="0.25">
      <c r="A10" t="str">
        <f>alunos!B9</f>
        <v>Giulia de Godoi Silveira</v>
      </c>
    </row>
    <row r="11" spans="1:1" x14ac:dyDescent="0.25">
      <c r="A11" t="str">
        <f>alunos!B10</f>
        <v>Gustavo Ferelli</v>
      </c>
    </row>
    <row r="12" spans="1:1" x14ac:dyDescent="0.25">
      <c r="A12" t="str">
        <f>alunos!B11</f>
        <v>Heitor Dorigan de Angeli</v>
      </c>
    </row>
    <row r="13" spans="1:1" x14ac:dyDescent="0.25">
      <c r="A13" t="str">
        <f>alunos!B12</f>
        <v>Helena Politti Rossi</v>
      </c>
    </row>
    <row r="14" spans="1:1" x14ac:dyDescent="0.25">
      <c r="A14" t="str">
        <f>alunos!B13</f>
        <v>Isabela Marchiori Ferreira</v>
      </c>
    </row>
    <row r="15" spans="1:1" x14ac:dyDescent="0.25">
      <c r="A15" t="str">
        <f>alunos!B14</f>
        <v>Isabelle Caroline Vizeu de Salles</v>
      </c>
    </row>
    <row r="16" spans="1:1" x14ac:dyDescent="0.25">
      <c r="A16" t="str">
        <f>alunos!B15</f>
        <v>Leandro Imenes de Oliveira</v>
      </c>
    </row>
    <row r="17" spans="1:1" x14ac:dyDescent="0.25">
      <c r="A17" t="str">
        <f>alunos!B16</f>
        <v>Letícia Aparecida Pinto de Souza</v>
      </c>
    </row>
    <row r="18" spans="1:1" x14ac:dyDescent="0.25">
      <c r="A18" t="str">
        <f>alunos!B17</f>
        <v>Luana Gabrielle de Oliveira</v>
      </c>
    </row>
    <row r="19" spans="1:1" x14ac:dyDescent="0.25">
      <c r="A19" t="str">
        <f>alunos!B18</f>
        <v>Marina Henrique Moretti</v>
      </c>
    </row>
    <row r="20" spans="1:1" x14ac:dyDescent="0.25">
      <c r="A20" t="str">
        <f>alunos!B19</f>
        <v>Matheus Dorigan Paiato</v>
      </c>
    </row>
    <row r="21" spans="1:1" x14ac:dyDescent="0.25">
      <c r="A21" t="str">
        <f>alunos!B20</f>
        <v>Maycon Silva Gonçalves de Lima</v>
      </c>
    </row>
    <row r="22" spans="1:1" x14ac:dyDescent="0.25">
      <c r="A22" t="str">
        <f>alunos!B21</f>
        <v>Nicolas Augusto dos Reis Lira</v>
      </c>
    </row>
    <row r="23" spans="1:1" x14ac:dyDescent="0.25">
      <c r="A23" t="str">
        <f>alunos!B22</f>
        <v>Otávio Augusto Barbosa</v>
      </c>
    </row>
    <row r="24" spans="1:1" x14ac:dyDescent="0.25">
      <c r="A24" t="str">
        <f>alunos!B23</f>
        <v>Pedro Henrique Souza Guarizo</v>
      </c>
    </row>
    <row r="25" spans="1:1" x14ac:dyDescent="0.25">
      <c r="A25" t="str">
        <f>alunos!B24</f>
        <v>Renan Pavan Fazullo</v>
      </c>
    </row>
    <row r="26" spans="1:1" x14ac:dyDescent="0.25">
      <c r="A26" t="str">
        <f>alunos!B25</f>
        <v>Sara de Paula Souza</v>
      </c>
    </row>
    <row r="27" spans="1:1" x14ac:dyDescent="0.25">
      <c r="A27" t="str">
        <f>alunos!B26</f>
        <v>Sofia Ohashi Faria</v>
      </c>
    </row>
    <row r="28" spans="1:1" x14ac:dyDescent="0.25">
      <c r="A28" t="str">
        <f>alunos!B27</f>
        <v>Tobias Gabriel Bueno de Godoi</v>
      </c>
    </row>
    <row r="29" spans="1:1" x14ac:dyDescent="0.25">
      <c r="A29" t="str">
        <f>alunos!B28</f>
        <v>Víctor Henrique Santana Alves</v>
      </c>
    </row>
    <row r="30" spans="1:1" x14ac:dyDescent="0.25">
      <c r="A30" t="str">
        <f>alunos!B29</f>
        <v>Vitória Bueno da Silva</v>
      </c>
    </row>
    <row r="31" spans="1:1" x14ac:dyDescent="0.25">
      <c r="A31" t="str">
        <f>alunos!B30</f>
        <v>Giuseppe de Moraes Vieira</v>
      </c>
    </row>
    <row r="32" spans="1:1" x14ac:dyDescent="0.25">
      <c r="A32" t="str">
        <f>alunos!B31</f>
        <v>Samyra Leite da Silva Ferreira</v>
      </c>
    </row>
    <row r="33" spans="1:1" x14ac:dyDescent="0.25">
      <c r="A33" t="str">
        <f>alunos!B32</f>
        <v>Larissa Guarizo Tolloto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Robson Bacchin de Souza</cp:lastModifiedBy>
  <dcterms:created xsi:type="dcterms:W3CDTF">2024-01-26T16:22:51Z</dcterms:created>
  <dcterms:modified xsi:type="dcterms:W3CDTF">2026-02-24T17:34:15Z</dcterms:modified>
</cp:coreProperties>
</file>