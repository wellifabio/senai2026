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n1057928\Desktop\senai2026\ds\turmas\1DES_A\2º Semestre\04-psof1\aula02\"/>
    </mc:Choice>
  </mc:AlternateContent>
  <xr:revisionPtr revIDLastSave="0" documentId="8_{36272F2F-E5D1-4829-BCB9-57D6411356AA}" xr6:coauthVersionLast="47" xr6:coauthVersionMax="47" xr10:uidLastSave="{00000000-0000-0000-0000-000000000000}"/>
  <bookViews>
    <workbookView xWindow="-120" yWindow="-120" windowWidth="29040" windowHeight="15720" activeTab="4" xr2:uid="{096FD56E-A6BA-4D70-A968-DA1C46A8D9E5}"/>
  </bookViews>
  <sheets>
    <sheet name="Gantt01-Antes" sheetId="1" r:id="rId1"/>
    <sheet name="Gantt02-durante" sheetId="2" r:id="rId2"/>
    <sheet name="Errado" sheetId="5" r:id="rId3"/>
    <sheet name="Gantt-depois-fim" sheetId="3" r:id="rId4"/>
    <sheet name="Orçamento" sheetId="6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16" i="6" l="1"/>
  <c r="D11" i="6"/>
  <c r="D12" i="6"/>
  <c r="D13" i="6"/>
  <c r="D14" i="6"/>
  <c r="D10" i="6"/>
  <c r="D7" i="6"/>
  <c r="D4" i="6"/>
  <c r="D5" i="6"/>
  <c r="D6" i="6"/>
  <c r="D3" i="6"/>
  <c r="D15" i="6" l="1"/>
</calcChain>
</file>

<file path=xl/sharedStrings.xml><?xml version="1.0" encoding="utf-8"?>
<sst xmlns="http://schemas.openxmlformats.org/spreadsheetml/2006/main" count="122" uniqueCount="43">
  <si>
    <t>Cronograma - Gráfico Gantt</t>
  </si>
  <si>
    <t>Prazo do Projeto</t>
  </si>
  <si>
    <t>Tarefa/Atividade</t>
  </si>
  <si>
    <t>Recurso</t>
  </si>
  <si>
    <t>30 Dias</t>
  </si>
  <si>
    <t>Projeto Casa do Totó</t>
  </si>
  <si>
    <t>Obter madeira de reciclagem (Palets)</t>
  </si>
  <si>
    <t>Obter dinheiro (Vaquinha)</t>
  </si>
  <si>
    <t>Obter Comprar/Doação Pregos Parafusos</t>
  </si>
  <si>
    <t>Obter Ferramentas</t>
  </si>
  <si>
    <t>Costruir a casa</t>
  </si>
  <si>
    <t>Inauguração de entrega com fotos</t>
  </si>
  <si>
    <t>Tiar fotos das etapas</t>
  </si>
  <si>
    <t>Equipe financeira</t>
  </si>
  <si>
    <t>Compradora (Valentina)</t>
  </si>
  <si>
    <t>Construtores</t>
  </si>
  <si>
    <t>Todos</t>
  </si>
  <si>
    <t>Fotógrafo (Enzo)</t>
  </si>
  <si>
    <t>Legenda</t>
  </si>
  <si>
    <t>Planejado</t>
  </si>
  <si>
    <t>Concluído</t>
  </si>
  <si>
    <t>Em execução</t>
  </si>
  <si>
    <t>Atrasado</t>
  </si>
  <si>
    <t>Orçamento</t>
  </si>
  <si>
    <t>Materiais</t>
  </si>
  <si>
    <t>Madeira</t>
  </si>
  <si>
    <t>Prégos</t>
  </si>
  <si>
    <t>Parafusos</t>
  </si>
  <si>
    <t>Ferramentas</t>
  </si>
  <si>
    <t>Quantidade</t>
  </si>
  <si>
    <t>Custo. Unitário</t>
  </si>
  <si>
    <t>Subtotal</t>
  </si>
  <si>
    <t>Total</t>
  </si>
  <si>
    <t>Mão de Obra</t>
  </si>
  <si>
    <t>Profissional</t>
  </si>
  <si>
    <t>Carpinteiro</t>
  </si>
  <si>
    <t>Ajudante</t>
  </si>
  <si>
    <t>Supervisor</t>
  </si>
  <si>
    <t>Gerente</t>
  </si>
  <si>
    <t>Encarregado</t>
  </si>
  <si>
    <t>Horas</t>
  </si>
  <si>
    <t>Custo/Hora</t>
  </si>
  <si>
    <t>Total Geral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</si>
</sst>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$&quot;\ * #,##0.00_-;\-&quot;R$&quot;\ * #,##0.00_-;_-&quot;R$&quot;\ * &quot;-&quot;??_-;_-@_-"/>
    <numFmt numFmtId="164" formatCode="00"/>
  </numFmts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18">
    <xf numFmtId="0" fontId="0" fillId="0" borderId="0" xfId="0"/>
    <xf numFmtId="44" fontId="0" fillId="0" borderId="0" xfId="1" applyFont="1"/>
    <xf numFmtId="44" fontId="0" fillId="0" borderId="0" xfId="0" applyNumberFormat="1"/>
    <xf numFmtId="9" fontId="0" fillId="0" borderId="0" xfId="0" applyNumberFormat="1"/>
    <xf numFmtId="164" fontId="0" fillId="0" borderId="0" xfId="0" applyNumberFormat="1"/>
    <xf numFmtId="0" fontId="3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3" fillId="0" borderId="0" xfId="0" applyFont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2" fillId="2" borderId="0" xfId="0" applyFont="1" applyFill="1"/>
    <xf numFmtId="0" fontId="2" fillId="4" borderId="0" xfId="0" applyFont="1" applyFill="1"/>
    <xf numFmtId="0" fontId="0" fillId="6" borderId="0" xfId="0" applyFill="1"/>
    <xf numFmtId="0" fontId="2" fillId="6" borderId="0" xfId="0" applyFont="1" applyFill="1"/>
    <xf numFmtId="44" fontId="3" fillId="0" borderId="0" xfId="0" applyNumberFormat="1" applyFont="1"/>
    <xf numFmtId="0" fontId="3" fillId="0" borderId="0" xfId="0" applyFont="1" applyAlignment="1">
      <alignment horizontal="left"/>
    </xf>
  </cellXfs>
  <cellStyles count="2">
    <cellStyle name="Mo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8A2A02-8AEA-45E8-8617-54B46ACC61B0}">
  <dimension ref="A1:AF16"/>
  <sheetViews>
    <sheetView zoomScale="160" zoomScaleNormal="160" workbookViewId="0">
      <selection activeCell="A17" sqref="A17"/>
    </sheetView>
  </sheetViews>
  <sheetFormatPr defaultRowHeight="15" x14ac:dyDescent="0.25"/>
  <cols>
    <col min="1" max="1" width="38.42578125" bestFit="1" customWidth="1"/>
    <col min="2" max="2" width="22.85546875" bestFit="1" customWidth="1"/>
    <col min="3" max="32" width="3" bestFit="1" customWidth="1"/>
  </cols>
  <sheetData>
    <row r="1" spans="1:32" ht="18.75" x14ac:dyDescent="0.3">
      <c r="A1" s="6" t="s">
        <v>0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</row>
    <row r="2" spans="1:32" x14ac:dyDescent="0.25">
      <c r="A2" s="7" t="s">
        <v>1</v>
      </c>
      <c r="B2" t="s">
        <v>4</v>
      </c>
      <c r="C2" s="5" t="s">
        <v>5</v>
      </c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</row>
    <row r="3" spans="1:32" x14ac:dyDescent="0.25">
      <c r="A3" t="s">
        <v>2</v>
      </c>
      <c r="B3" t="s">
        <v>3</v>
      </c>
      <c r="C3" s="4">
        <v>1</v>
      </c>
      <c r="D3" s="4">
        <v>2</v>
      </c>
      <c r="E3" s="4">
        <v>3</v>
      </c>
      <c r="F3" s="4">
        <v>4</v>
      </c>
      <c r="G3" s="4">
        <v>5</v>
      </c>
      <c r="H3" s="4">
        <v>6</v>
      </c>
      <c r="I3" s="4">
        <v>7</v>
      </c>
      <c r="J3" s="4">
        <v>8</v>
      </c>
      <c r="K3" s="4">
        <v>9</v>
      </c>
      <c r="L3" s="4">
        <v>10</v>
      </c>
      <c r="M3" s="4">
        <v>11</v>
      </c>
      <c r="N3" s="4">
        <v>12</v>
      </c>
      <c r="O3" s="4">
        <v>13</v>
      </c>
      <c r="P3" s="4">
        <v>14</v>
      </c>
      <c r="Q3" s="4">
        <v>15</v>
      </c>
      <c r="R3" s="4">
        <v>16</v>
      </c>
      <c r="S3" s="4">
        <v>17</v>
      </c>
      <c r="T3" s="4">
        <v>18</v>
      </c>
      <c r="U3" s="4">
        <v>19</v>
      </c>
      <c r="V3" s="4">
        <v>20</v>
      </c>
      <c r="W3" s="4">
        <v>21</v>
      </c>
      <c r="X3" s="4">
        <v>22</v>
      </c>
      <c r="Y3" s="4">
        <v>23</v>
      </c>
      <c r="Z3" s="4">
        <v>24</v>
      </c>
      <c r="AA3" s="4">
        <v>25</v>
      </c>
      <c r="AB3" s="4">
        <v>26</v>
      </c>
      <c r="AC3" s="4">
        <v>27</v>
      </c>
      <c r="AD3" s="4">
        <v>28</v>
      </c>
      <c r="AE3" s="4">
        <v>29</v>
      </c>
      <c r="AF3" s="4">
        <v>30</v>
      </c>
    </row>
    <row r="4" spans="1:32" x14ac:dyDescent="0.25">
      <c r="A4" t="s">
        <v>7</v>
      </c>
      <c r="B4" t="s">
        <v>13</v>
      </c>
      <c r="C4" s="8"/>
      <c r="D4" s="8"/>
      <c r="E4" s="8"/>
      <c r="F4" s="8"/>
      <c r="G4" s="8"/>
      <c r="H4" s="8"/>
      <c r="I4" s="8"/>
      <c r="J4" s="8"/>
      <c r="K4" s="8"/>
      <c r="L4" s="8"/>
    </row>
    <row r="5" spans="1:32" x14ac:dyDescent="0.25">
      <c r="A5" t="s">
        <v>6</v>
      </c>
      <c r="B5" t="s">
        <v>14</v>
      </c>
      <c r="H5" s="12"/>
      <c r="I5" s="12"/>
      <c r="J5" s="12"/>
      <c r="K5" s="12"/>
      <c r="L5" s="12"/>
      <c r="M5" s="12"/>
      <c r="N5" s="12"/>
      <c r="O5" s="12"/>
      <c r="P5" s="12"/>
      <c r="Q5" s="12"/>
    </row>
    <row r="6" spans="1:32" x14ac:dyDescent="0.25">
      <c r="A6" t="s">
        <v>8</v>
      </c>
      <c r="B6" t="s">
        <v>14</v>
      </c>
      <c r="D6" s="2"/>
      <c r="M6" s="8"/>
      <c r="N6" s="8"/>
      <c r="O6" s="8"/>
      <c r="P6" s="8"/>
      <c r="Q6" s="8"/>
      <c r="R6" s="8"/>
      <c r="S6" s="8"/>
      <c r="T6" s="8"/>
      <c r="U6" s="8"/>
      <c r="V6" s="8"/>
    </row>
    <row r="7" spans="1:32" x14ac:dyDescent="0.25">
      <c r="A7" t="s">
        <v>9</v>
      </c>
      <c r="B7" t="s">
        <v>15</v>
      </c>
      <c r="M7" s="8"/>
      <c r="N7" s="8"/>
      <c r="O7" s="8"/>
      <c r="P7" s="8"/>
      <c r="Q7" s="8"/>
      <c r="R7" s="8"/>
      <c r="S7" s="8"/>
      <c r="T7" s="8"/>
      <c r="U7" s="8"/>
      <c r="V7" s="8"/>
    </row>
    <row r="8" spans="1:32" x14ac:dyDescent="0.25">
      <c r="A8" t="s">
        <v>10</v>
      </c>
      <c r="B8" t="s">
        <v>15</v>
      </c>
      <c r="D8" s="2"/>
      <c r="E8" s="3"/>
      <c r="F8" s="2"/>
      <c r="G8" s="2"/>
      <c r="R8" s="8"/>
      <c r="S8" s="8"/>
      <c r="T8" s="8"/>
      <c r="U8" s="8"/>
      <c r="V8" s="8"/>
      <c r="W8" s="8"/>
      <c r="X8" s="8"/>
      <c r="Y8" s="8"/>
      <c r="Z8" s="8"/>
      <c r="AA8" s="8"/>
    </row>
    <row r="9" spans="1:32" x14ac:dyDescent="0.25">
      <c r="A9" t="s">
        <v>11</v>
      </c>
      <c r="B9" t="s">
        <v>16</v>
      </c>
      <c r="G9" s="2"/>
      <c r="AE9" s="8"/>
      <c r="AF9" s="8"/>
    </row>
    <row r="10" spans="1:32" x14ac:dyDescent="0.25">
      <c r="A10" t="s">
        <v>12</v>
      </c>
      <c r="B10" t="s">
        <v>17</v>
      </c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  <c r="AE10" s="8"/>
      <c r="AF10" s="8"/>
    </row>
    <row r="12" spans="1:32" x14ac:dyDescent="0.25">
      <c r="A12" s="5" t="s">
        <v>18</v>
      </c>
      <c r="B12" s="5"/>
    </row>
    <row r="13" spans="1:32" x14ac:dyDescent="0.25">
      <c r="A13" t="s">
        <v>19</v>
      </c>
      <c r="B13" s="8"/>
    </row>
    <row r="14" spans="1:32" x14ac:dyDescent="0.25">
      <c r="A14" t="s">
        <v>21</v>
      </c>
      <c r="B14" s="9"/>
    </row>
    <row r="15" spans="1:32" x14ac:dyDescent="0.25">
      <c r="A15" t="s">
        <v>22</v>
      </c>
      <c r="B15" s="10"/>
    </row>
    <row r="16" spans="1:32" x14ac:dyDescent="0.25">
      <c r="A16" t="s">
        <v>20</v>
      </c>
      <c r="B16" s="11"/>
    </row>
  </sheetData>
  <mergeCells count="3">
    <mergeCell ref="A1:AC1"/>
    <mergeCell ref="C2:AF2"/>
    <mergeCell ref="A12:B12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8B53A8-7EF7-4282-BE9B-E41C67727BF7}">
  <dimension ref="A1:AF16"/>
  <sheetViews>
    <sheetView zoomScale="160" zoomScaleNormal="160" workbookViewId="0">
      <selection activeCell="N12" sqref="N12"/>
    </sheetView>
  </sheetViews>
  <sheetFormatPr defaultRowHeight="15" x14ac:dyDescent="0.25"/>
  <cols>
    <col min="1" max="1" width="38.42578125" bestFit="1" customWidth="1"/>
    <col min="2" max="2" width="22.85546875" bestFit="1" customWidth="1"/>
    <col min="3" max="32" width="3" bestFit="1" customWidth="1"/>
  </cols>
  <sheetData>
    <row r="1" spans="1:32" ht="18.75" x14ac:dyDescent="0.3">
      <c r="A1" s="6" t="s">
        <v>0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</row>
    <row r="2" spans="1:32" x14ac:dyDescent="0.25">
      <c r="A2" s="7" t="s">
        <v>1</v>
      </c>
      <c r="B2" t="s">
        <v>4</v>
      </c>
      <c r="C2" s="5" t="s">
        <v>5</v>
      </c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</row>
    <row r="3" spans="1:32" x14ac:dyDescent="0.25">
      <c r="A3" t="s">
        <v>2</v>
      </c>
      <c r="B3" t="s">
        <v>3</v>
      </c>
      <c r="C3" s="4">
        <v>1</v>
      </c>
      <c r="D3" s="4">
        <v>2</v>
      </c>
      <c r="E3" s="4">
        <v>3</v>
      </c>
      <c r="F3" s="4">
        <v>4</v>
      </c>
      <c r="G3" s="4">
        <v>5</v>
      </c>
      <c r="H3" s="4">
        <v>6</v>
      </c>
      <c r="I3" s="4">
        <v>7</v>
      </c>
      <c r="J3" s="4">
        <v>8</v>
      </c>
      <c r="K3" s="4">
        <v>9</v>
      </c>
      <c r="L3" s="4">
        <v>10</v>
      </c>
      <c r="M3" s="4">
        <v>11</v>
      </c>
      <c r="N3" s="4">
        <v>12</v>
      </c>
      <c r="O3" s="4">
        <v>13</v>
      </c>
      <c r="P3" s="4">
        <v>14</v>
      </c>
      <c r="Q3" s="4">
        <v>15</v>
      </c>
      <c r="R3" s="4">
        <v>16</v>
      </c>
      <c r="S3" s="4">
        <v>17</v>
      </c>
      <c r="T3" s="4">
        <v>18</v>
      </c>
      <c r="U3" s="4">
        <v>19</v>
      </c>
      <c r="V3" s="4">
        <v>20</v>
      </c>
      <c r="W3" s="4">
        <v>21</v>
      </c>
      <c r="X3" s="4">
        <v>22</v>
      </c>
      <c r="Y3" s="4">
        <v>23</v>
      </c>
      <c r="Z3" s="4">
        <v>24</v>
      </c>
      <c r="AA3" s="4">
        <v>25</v>
      </c>
      <c r="AB3" s="4">
        <v>26</v>
      </c>
      <c r="AC3" s="4">
        <v>27</v>
      </c>
      <c r="AD3" s="4">
        <v>28</v>
      </c>
      <c r="AE3" s="4">
        <v>29</v>
      </c>
      <c r="AF3" s="4">
        <v>30</v>
      </c>
    </row>
    <row r="4" spans="1:32" x14ac:dyDescent="0.25">
      <c r="A4" t="s">
        <v>7</v>
      </c>
      <c r="B4" t="s">
        <v>13</v>
      </c>
      <c r="C4" s="11"/>
      <c r="D4" s="11"/>
      <c r="E4" s="11"/>
      <c r="F4" s="11"/>
      <c r="G4" s="11"/>
      <c r="H4" s="11"/>
      <c r="I4" s="11"/>
      <c r="J4" s="11"/>
      <c r="K4" s="11"/>
      <c r="L4" s="11"/>
    </row>
    <row r="5" spans="1:32" x14ac:dyDescent="0.25">
      <c r="A5" t="s">
        <v>6</v>
      </c>
      <c r="B5" t="s">
        <v>14</v>
      </c>
      <c r="H5" s="13"/>
      <c r="I5" s="13"/>
      <c r="J5" s="13"/>
      <c r="K5" s="13"/>
      <c r="L5" s="13"/>
      <c r="M5" s="13"/>
      <c r="N5" s="13"/>
      <c r="O5" s="13"/>
      <c r="P5" s="13"/>
      <c r="Q5" s="13"/>
    </row>
    <row r="6" spans="1:32" x14ac:dyDescent="0.25">
      <c r="A6" t="s">
        <v>8</v>
      </c>
      <c r="B6" t="s">
        <v>14</v>
      </c>
      <c r="D6" s="2"/>
      <c r="M6" s="11"/>
      <c r="N6" s="11"/>
      <c r="O6" s="11"/>
      <c r="P6" s="11"/>
      <c r="Q6" s="11"/>
      <c r="R6" s="11"/>
      <c r="S6" s="11"/>
      <c r="T6" s="11"/>
      <c r="U6" s="11"/>
      <c r="V6" s="11"/>
    </row>
    <row r="7" spans="1:32" x14ac:dyDescent="0.25">
      <c r="A7" t="s">
        <v>9</v>
      </c>
      <c r="B7" t="s">
        <v>15</v>
      </c>
      <c r="M7" s="11"/>
      <c r="N7" s="11"/>
      <c r="O7" s="11"/>
      <c r="P7" s="11"/>
      <c r="Q7" s="11"/>
      <c r="R7" s="11"/>
      <c r="S7" s="11"/>
      <c r="T7" s="11"/>
      <c r="U7" s="11"/>
      <c r="V7" s="11"/>
    </row>
    <row r="8" spans="1:32" x14ac:dyDescent="0.25">
      <c r="A8" t="s">
        <v>10</v>
      </c>
      <c r="B8" t="s">
        <v>15</v>
      </c>
      <c r="D8" s="2"/>
      <c r="E8" s="3"/>
      <c r="F8" s="2"/>
      <c r="G8" s="2"/>
      <c r="R8" s="8"/>
      <c r="S8" s="8"/>
      <c r="T8" s="8"/>
      <c r="U8" s="8"/>
      <c r="V8" s="8"/>
      <c r="W8" s="8"/>
      <c r="X8" s="8"/>
      <c r="Y8" s="8"/>
      <c r="Z8" s="8"/>
      <c r="AA8" s="8"/>
    </row>
    <row r="9" spans="1:32" x14ac:dyDescent="0.25">
      <c r="A9" t="s">
        <v>11</v>
      </c>
      <c r="B9" t="s">
        <v>16</v>
      </c>
      <c r="G9" s="2"/>
      <c r="AE9" s="8"/>
      <c r="AF9" s="8"/>
    </row>
    <row r="10" spans="1:32" x14ac:dyDescent="0.25">
      <c r="A10" t="s">
        <v>12</v>
      </c>
      <c r="B10" t="s">
        <v>17</v>
      </c>
      <c r="C10" s="9"/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</row>
    <row r="12" spans="1:32" x14ac:dyDescent="0.25">
      <c r="A12" s="5" t="s">
        <v>18</v>
      </c>
      <c r="B12" s="5"/>
    </row>
    <row r="13" spans="1:32" x14ac:dyDescent="0.25">
      <c r="A13" t="s">
        <v>19</v>
      </c>
      <c r="B13" s="8"/>
    </row>
    <row r="14" spans="1:32" x14ac:dyDescent="0.25">
      <c r="A14" t="s">
        <v>21</v>
      </c>
      <c r="B14" s="9"/>
    </row>
    <row r="15" spans="1:32" x14ac:dyDescent="0.25">
      <c r="A15" t="s">
        <v>22</v>
      </c>
      <c r="B15" s="10"/>
    </row>
    <row r="16" spans="1:32" x14ac:dyDescent="0.25">
      <c r="A16" t="s">
        <v>20</v>
      </c>
      <c r="B16" s="11"/>
    </row>
  </sheetData>
  <mergeCells count="3">
    <mergeCell ref="A1:AC1"/>
    <mergeCell ref="C2:AF2"/>
    <mergeCell ref="A12:B12"/>
  </mergeCell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665B6C-E73C-46B6-AA71-123B8E68062E}">
  <dimension ref="A1:AF16"/>
  <sheetViews>
    <sheetView zoomScale="160" zoomScaleNormal="160" workbookViewId="0">
      <selection activeCell="J8" sqref="J8"/>
    </sheetView>
  </sheetViews>
  <sheetFormatPr defaultRowHeight="15" x14ac:dyDescent="0.25"/>
  <cols>
    <col min="1" max="1" width="38.42578125" bestFit="1" customWidth="1"/>
    <col min="2" max="2" width="22.85546875" bestFit="1" customWidth="1"/>
    <col min="3" max="32" width="3" bestFit="1" customWidth="1"/>
  </cols>
  <sheetData>
    <row r="1" spans="1:32" ht="18.75" x14ac:dyDescent="0.3">
      <c r="A1" s="6" t="s">
        <v>0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</row>
    <row r="2" spans="1:32" x14ac:dyDescent="0.25">
      <c r="A2" s="7" t="s">
        <v>1</v>
      </c>
      <c r="B2" t="s">
        <v>4</v>
      </c>
      <c r="C2" s="5" t="s">
        <v>5</v>
      </c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</row>
    <row r="3" spans="1:32" x14ac:dyDescent="0.25">
      <c r="A3" t="s">
        <v>2</v>
      </c>
      <c r="B3" t="s">
        <v>3</v>
      </c>
      <c r="C3" s="4">
        <v>1</v>
      </c>
      <c r="D3" s="4">
        <v>2</v>
      </c>
      <c r="E3" s="4">
        <v>3</v>
      </c>
      <c r="F3" s="4">
        <v>4</v>
      </c>
      <c r="G3" s="4">
        <v>5</v>
      </c>
      <c r="H3" s="4">
        <v>6</v>
      </c>
      <c r="I3" s="4">
        <v>7</v>
      </c>
      <c r="J3" s="4">
        <v>8</v>
      </c>
      <c r="K3" s="4">
        <v>9</v>
      </c>
      <c r="L3" s="4">
        <v>10</v>
      </c>
      <c r="M3" s="4">
        <v>11</v>
      </c>
      <c r="N3" s="4">
        <v>12</v>
      </c>
      <c r="O3" s="4">
        <v>13</v>
      </c>
      <c r="P3" s="4">
        <v>14</v>
      </c>
      <c r="Q3" s="4">
        <v>15</v>
      </c>
      <c r="R3" s="4">
        <v>16</v>
      </c>
      <c r="S3" s="4">
        <v>17</v>
      </c>
      <c r="T3" s="4">
        <v>18</v>
      </c>
      <c r="U3" s="4">
        <v>19</v>
      </c>
      <c r="V3" s="4">
        <v>20</v>
      </c>
      <c r="W3" s="4">
        <v>21</v>
      </c>
      <c r="X3" s="4">
        <v>22</v>
      </c>
      <c r="Y3" s="4">
        <v>23</v>
      </c>
      <c r="Z3" s="4">
        <v>24</v>
      </c>
      <c r="AA3" s="4">
        <v>25</v>
      </c>
      <c r="AB3" s="4">
        <v>26</v>
      </c>
      <c r="AC3" s="4">
        <v>27</v>
      </c>
      <c r="AD3" s="4">
        <v>28</v>
      </c>
      <c r="AE3" s="4">
        <v>29</v>
      </c>
      <c r="AF3" s="4">
        <v>30</v>
      </c>
    </row>
    <row r="4" spans="1:32" x14ac:dyDescent="0.25">
      <c r="A4" t="s">
        <v>7</v>
      </c>
      <c r="B4" t="s">
        <v>13</v>
      </c>
      <c r="C4" s="11"/>
      <c r="D4" s="11"/>
      <c r="E4" s="11"/>
      <c r="F4" s="11"/>
      <c r="G4" s="11"/>
      <c r="H4" s="11"/>
      <c r="I4" s="11"/>
      <c r="J4" s="11"/>
      <c r="K4" s="11"/>
      <c r="L4" s="11"/>
    </row>
    <row r="5" spans="1:32" x14ac:dyDescent="0.25">
      <c r="A5" t="s">
        <v>6</v>
      </c>
      <c r="B5" t="s">
        <v>14</v>
      </c>
      <c r="J5" s="13"/>
      <c r="K5" s="13"/>
      <c r="L5" s="13"/>
      <c r="M5" s="13"/>
      <c r="N5" s="13"/>
      <c r="O5" s="13"/>
      <c r="P5" s="13"/>
      <c r="Q5" s="13"/>
      <c r="R5" s="13"/>
      <c r="S5" s="13"/>
    </row>
    <row r="6" spans="1:32" x14ac:dyDescent="0.25">
      <c r="A6" t="s">
        <v>10</v>
      </c>
      <c r="B6" t="s">
        <v>15</v>
      </c>
      <c r="D6" s="2"/>
      <c r="E6" s="3"/>
      <c r="F6" s="2"/>
      <c r="G6" s="2"/>
      <c r="U6" s="15"/>
      <c r="V6" s="15"/>
      <c r="W6" s="15"/>
      <c r="X6" s="15"/>
      <c r="Y6" s="15"/>
      <c r="Z6" s="15"/>
      <c r="AA6" s="15"/>
      <c r="AB6" s="15"/>
      <c r="AC6" s="15"/>
      <c r="AD6" s="15"/>
    </row>
    <row r="7" spans="1:32" x14ac:dyDescent="0.25">
      <c r="A7" t="s">
        <v>8</v>
      </c>
      <c r="B7" t="s">
        <v>14</v>
      </c>
      <c r="D7" s="2"/>
      <c r="M7" s="11"/>
      <c r="N7" s="11"/>
      <c r="O7" s="11"/>
      <c r="P7" s="11"/>
      <c r="Q7" s="11"/>
      <c r="R7" s="11"/>
      <c r="S7" s="11"/>
      <c r="T7" s="11"/>
      <c r="U7" s="11"/>
      <c r="V7" s="11"/>
    </row>
    <row r="8" spans="1:32" x14ac:dyDescent="0.25">
      <c r="A8" t="s">
        <v>9</v>
      </c>
      <c r="B8" t="s">
        <v>15</v>
      </c>
      <c r="M8" s="11"/>
      <c r="N8" s="11"/>
      <c r="O8" s="11"/>
      <c r="P8" s="11"/>
      <c r="Q8" s="11"/>
      <c r="R8" s="11"/>
      <c r="S8" s="11"/>
      <c r="T8" s="11"/>
      <c r="U8" s="11"/>
      <c r="V8" s="11"/>
    </row>
    <row r="9" spans="1:32" x14ac:dyDescent="0.25">
      <c r="A9" t="s">
        <v>11</v>
      </c>
      <c r="B9" t="s">
        <v>16</v>
      </c>
      <c r="G9" s="2"/>
      <c r="AE9" s="14"/>
      <c r="AF9" s="14"/>
    </row>
    <row r="10" spans="1:32" x14ac:dyDescent="0.25">
      <c r="A10" t="s">
        <v>12</v>
      </c>
      <c r="B10" t="s">
        <v>17</v>
      </c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</row>
    <row r="12" spans="1:32" x14ac:dyDescent="0.25">
      <c r="A12" s="5" t="s">
        <v>18</v>
      </c>
      <c r="B12" s="5"/>
    </row>
    <row r="13" spans="1:32" x14ac:dyDescent="0.25">
      <c r="A13" t="s">
        <v>19</v>
      </c>
      <c r="B13" s="8"/>
    </row>
    <row r="14" spans="1:32" x14ac:dyDescent="0.25">
      <c r="A14" t="s">
        <v>21</v>
      </c>
      <c r="B14" s="9"/>
    </row>
    <row r="15" spans="1:32" x14ac:dyDescent="0.25">
      <c r="A15" t="s">
        <v>22</v>
      </c>
      <c r="B15" s="10"/>
    </row>
    <row r="16" spans="1:32" x14ac:dyDescent="0.25">
      <c r="A16" t="s">
        <v>20</v>
      </c>
      <c r="B16" s="11"/>
    </row>
  </sheetData>
  <mergeCells count="3">
    <mergeCell ref="A1:AC1"/>
    <mergeCell ref="C2:AF2"/>
    <mergeCell ref="A12:B12"/>
  </mergeCell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012001-AC28-4F1D-8013-A531E171EE1E}">
  <dimension ref="A1:AF16"/>
  <sheetViews>
    <sheetView zoomScale="160" zoomScaleNormal="160" workbookViewId="0">
      <selection activeCell="A23" sqref="A23"/>
    </sheetView>
  </sheetViews>
  <sheetFormatPr defaultRowHeight="15" x14ac:dyDescent="0.25"/>
  <cols>
    <col min="1" max="1" width="38.42578125" bestFit="1" customWidth="1"/>
    <col min="2" max="2" width="22.85546875" bestFit="1" customWidth="1"/>
    <col min="3" max="32" width="3" bestFit="1" customWidth="1"/>
  </cols>
  <sheetData>
    <row r="1" spans="1:32" ht="18.75" x14ac:dyDescent="0.3">
      <c r="A1" s="6" t="s">
        <v>0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</row>
    <row r="2" spans="1:32" x14ac:dyDescent="0.25">
      <c r="A2" s="7" t="s">
        <v>1</v>
      </c>
      <c r="B2" t="s">
        <v>4</v>
      </c>
      <c r="C2" s="5" t="s">
        <v>5</v>
      </c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</row>
    <row r="3" spans="1:32" x14ac:dyDescent="0.25">
      <c r="A3" t="s">
        <v>2</v>
      </c>
      <c r="B3" t="s">
        <v>3</v>
      </c>
      <c r="C3" s="4">
        <v>1</v>
      </c>
      <c r="D3" s="4">
        <v>2</v>
      </c>
      <c r="E3" s="4">
        <v>3</v>
      </c>
      <c r="F3" s="4">
        <v>4</v>
      </c>
      <c r="G3" s="4">
        <v>5</v>
      </c>
      <c r="H3" s="4">
        <v>6</v>
      </c>
      <c r="I3" s="4">
        <v>7</v>
      </c>
      <c r="J3" s="4">
        <v>8</v>
      </c>
      <c r="K3" s="4">
        <v>9</v>
      </c>
      <c r="L3" s="4">
        <v>10</v>
      </c>
      <c r="M3" s="4">
        <v>11</v>
      </c>
      <c r="N3" s="4">
        <v>12</v>
      </c>
      <c r="O3" s="4">
        <v>13</v>
      </c>
      <c r="P3" s="4">
        <v>14</v>
      </c>
      <c r="Q3" s="4">
        <v>15</v>
      </c>
      <c r="R3" s="4">
        <v>16</v>
      </c>
      <c r="S3" s="4">
        <v>17</v>
      </c>
      <c r="T3" s="4">
        <v>18</v>
      </c>
      <c r="U3" s="4">
        <v>19</v>
      </c>
      <c r="V3" s="4">
        <v>20</v>
      </c>
      <c r="W3" s="4">
        <v>21</v>
      </c>
      <c r="X3" s="4">
        <v>22</v>
      </c>
      <c r="Y3" s="4">
        <v>23</v>
      </c>
      <c r="Z3" s="4">
        <v>24</v>
      </c>
      <c r="AA3" s="4">
        <v>25</v>
      </c>
      <c r="AB3" s="4">
        <v>26</v>
      </c>
      <c r="AC3" s="4">
        <v>27</v>
      </c>
      <c r="AD3" s="4">
        <v>28</v>
      </c>
      <c r="AE3" s="4">
        <v>29</v>
      </c>
      <c r="AF3" s="4">
        <v>30</v>
      </c>
    </row>
    <row r="4" spans="1:32" x14ac:dyDescent="0.25">
      <c r="A4" t="s">
        <v>7</v>
      </c>
      <c r="B4" t="s">
        <v>13</v>
      </c>
      <c r="C4" s="11"/>
      <c r="D4" s="11"/>
      <c r="E4" s="11"/>
      <c r="F4" s="11"/>
      <c r="G4" s="11"/>
      <c r="H4" s="11"/>
      <c r="I4" s="11"/>
      <c r="J4" s="11"/>
      <c r="K4" s="11"/>
      <c r="L4" s="11"/>
    </row>
    <row r="5" spans="1:32" x14ac:dyDescent="0.25">
      <c r="A5" t="s">
        <v>6</v>
      </c>
      <c r="B5" t="s">
        <v>14</v>
      </c>
      <c r="J5" s="13"/>
      <c r="K5" s="13"/>
      <c r="L5" s="13"/>
      <c r="M5" s="13"/>
      <c r="N5" s="13"/>
      <c r="O5" s="13"/>
      <c r="P5" s="13"/>
      <c r="Q5" s="13"/>
      <c r="R5" s="13"/>
      <c r="S5" s="13"/>
    </row>
    <row r="6" spans="1:32" x14ac:dyDescent="0.25">
      <c r="A6" t="s">
        <v>8</v>
      </c>
      <c r="B6" t="s">
        <v>14</v>
      </c>
      <c r="D6" s="2"/>
      <c r="M6" s="11"/>
      <c r="N6" s="11"/>
      <c r="O6" s="11"/>
      <c r="P6" s="11"/>
      <c r="Q6" s="11"/>
      <c r="R6" s="11"/>
      <c r="S6" s="11"/>
      <c r="T6" s="11"/>
      <c r="U6" s="11"/>
      <c r="V6" s="11"/>
    </row>
    <row r="7" spans="1:32" x14ac:dyDescent="0.25">
      <c r="A7" t="s">
        <v>9</v>
      </c>
      <c r="B7" t="s">
        <v>15</v>
      </c>
      <c r="M7" s="11"/>
      <c r="N7" s="11"/>
      <c r="O7" s="11"/>
      <c r="P7" s="11"/>
      <c r="Q7" s="11"/>
      <c r="R7" s="11"/>
      <c r="S7" s="11"/>
      <c r="T7" s="11"/>
      <c r="U7" s="11"/>
      <c r="V7" s="11"/>
    </row>
    <row r="8" spans="1:32" x14ac:dyDescent="0.25">
      <c r="A8" t="s">
        <v>10</v>
      </c>
      <c r="B8" t="s">
        <v>15</v>
      </c>
      <c r="D8" s="2"/>
      <c r="E8" s="3"/>
      <c r="F8" s="2"/>
      <c r="G8" s="2"/>
      <c r="U8" s="15"/>
      <c r="V8" s="15"/>
      <c r="W8" s="15"/>
      <c r="X8" s="15"/>
      <c r="Y8" s="15"/>
      <c r="Z8" s="15"/>
      <c r="AA8" s="15"/>
      <c r="AB8" s="15"/>
      <c r="AC8" s="15"/>
      <c r="AD8" s="15"/>
    </row>
    <row r="9" spans="1:32" x14ac:dyDescent="0.25">
      <c r="A9" t="s">
        <v>11</v>
      </c>
      <c r="B9" t="s">
        <v>16</v>
      </c>
      <c r="G9" s="2"/>
      <c r="AE9" s="14"/>
      <c r="AF9" s="14"/>
    </row>
    <row r="10" spans="1:32" x14ac:dyDescent="0.25">
      <c r="A10" t="s">
        <v>12</v>
      </c>
      <c r="B10" t="s">
        <v>17</v>
      </c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</row>
    <row r="12" spans="1:32" x14ac:dyDescent="0.25">
      <c r="A12" s="5" t="s">
        <v>18</v>
      </c>
      <c r="B12" s="5"/>
    </row>
    <row r="13" spans="1:32" x14ac:dyDescent="0.25">
      <c r="A13" t="s">
        <v>19</v>
      </c>
      <c r="B13" s="8"/>
    </row>
    <row r="14" spans="1:32" x14ac:dyDescent="0.25">
      <c r="A14" t="s">
        <v>21</v>
      </c>
      <c r="B14" s="9"/>
    </row>
    <row r="15" spans="1:32" x14ac:dyDescent="0.25">
      <c r="A15" t="s">
        <v>22</v>
      </c>
      <c r="B15" s="10"/>
    </row>
    <row r="16" spans="1:32" x14ac:dyDescent="0.25">
      <c r="A16" t="s">
        <v>20</v>
      </c>
      <c r="B16" s="11"/>
    </row>
  </sheetData>
  <mergeCells count="3">
    <mergeCell ref="A1:AC1"/>
    <mergeCell ref="C2:AF2"/>
    <mergeCell ref="A12:B12"/>
  </mergeCell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680EC-7040-4751-BD28-4DCBE8DFA655}">
  <dimension ref="A1:D16"/>
  <sheetViews>
    <sheetView tabSelected="1" zoomScale="205" zoomScaleNormal="205" workbookViewId="0">
      <selection activeCell="D11" sqref="D11"/>
    </sheetView>
  </sheetViews>
  <sheetFormatPr defaultRowHeight="15" x14ac:dyDescent="0.25"/>
  <cols>
    <col min="1" max="1" width="12.140625" bestFit="1" customWidth="1"/>
    <col min="2" max="2" width="11.42578125" bestFit="1" customWidth="1"/>
    <col min="3" max="3" width="14.28515625" bestFit="1" customWidth="1"/>
    <col min="4" max="4" width="12.42578125" bestFit="1" customWidth="1"/>
  </cols>
  <sheetData>
    <row r="1" spans="1:4" ht="18.75" x14ac:dyDescent="0.3">
      <c r="A1" s="6" t="s">
        <v>23</v>
      </c>
      <c r="B1" s="6"/>
      <c r="C1" s="6"/>
      <c r="D1" s="6"/>
    </row>
    <row r="2" spans="1:4" x14ac:dyDescent="0.25">
      <c r="A2" s="7" t="s">
        <v>24</v>
      </c>
      <c r="B2" s="7" t="s">
        <v>29</v>
      </c>
      <c r="C2" s="7" t="s">
        <v>30</v>
      </c>
      <c r="D2" s="7" t="s">
        <v>31</v>
      </c>
    </row>
    <row r="3" spans="1:4" x14ac:dyDescent="0.25">
      <c r="A3" t="s">
        <v>25</v>
      </c>
      <c r="B3">
        <v>10</v>
      </c>
      <c r="C3" s="1">
        <v>20</v>
      </c>
      <c r="D3" s="2">
        <f>B3*C3</f>
        <v>200</v>
      </c>
    </row>
    <row r="4" spans="1:4" x14ac:dyDescent="0.25">
      <c r="A4" t="s">
        <v>26</v>
      </c>
      <c r="B4">
        <v>1</v>
      </c>
      <c r="C4" s="1">
        <v>14.5</v>
      </c>
      <c r="D4" s="2">
        <f t="shared" ref="D4:D6" si="0">B4*C4</f>
        <v>14.5</v>
      </c>
    </row>
    <row r="5" spans="1:4" x14ac:dyDescent="0.25">
      <c r="A5" t="s">
        <v>27</v>
      </c>
      <c r="B5">
        <v>30</v>
      </c>
      <c r="C5" s="1">
        <v>0.3</v>
      </c>
      <c r="D5" s="2">
        <f t="shared" si="0"/>
        <v>9</v>
      </c>
    </row>
    <row r="6" spans="1:4" x14ac:dyDescent="0.25">
      <c r="A6" t="s">
        <v>28</v>
      </c>
      <c r="B6">
        <v>1</v>
      </c>
      <c r="C6" s="1">
        <v>50</v>
      </c>
      <c r="D6" s="2">
        <f t="shared" si="0"/>
        <v>50</v>
      </c>
    </row>
    <row r="7" spans="1:4" x14ac:dyDescent="0.25">
      <c r="C7" s="7" t="s">
        <v>32</v>
      </c>
      <c r="D7" s="16">
        <f>SUM(D3:D6)</f>
        <v>273.5</v>
      </c>
    </row>
    <row r="8" spans="1:4" x14ac:dyDescent="0.25">
      <c r="A8" s="17" t="s">
        <v>33</v>
      </c>
      <c r="B8" s="17"/>
      <c r="C8" s="17"/>
      <c r="D8" s="17"/>
    </row>
    <row r="9" spans="1:4" x14ac:dyDescent="0.25">
      <c r="A9" s="7" t="s">
        <v>34</v>
      </c>
      <c r="B9" s="7" t="s">
        <v>40</v>
      </c>
      <c r="C9" s="7" t="s">
        <v>41</v>
      </c>
      <c r="D9" s="7" t="s">
        <v>31</v>
      </c>
    </row>
    <row r="10" spans="1:4" x14ac:dyDescent="0.25">
      <c r="A10" t="s">
        <v>38</v>
      </c>
      <c r="B10">
        <v>2</v>
      </c>
      <c r="C10" s="1">
        <v>30</v>
      </c>
      <c r="D10" s="2">
        <f>B10*C10</f>
        <v>60</v>
      </c>
    </row>
    <row r="11" spans="1:4" x14ac:dyDescent="0.25">
      <c r="A11" t="s">
        <v>37</v>
      </c>
      <c r="B11">
        <v>8</v>
      </c>
      <c r="C11" s="1">
        <v>20</v>
      </c>
      <c r="D11" s="2">
        <f t="shared" ref="D11:D14" si="1">B11*C11</f>
        <v>160</v>
      </c>
    </row>
    <row r="12" spans="1:4" x14ac:dyDescent="0.25">
      <c r="A12" t="s">
        <v>39</v>
      </c>
      <c r="B12">
        <v>8</v>
      </c>
      <c r="C12" s="1">
        <v>12</v>
      </c>
      <c r="D12" s="2">
        <f t="shared" si="1"/>
        <v>96</v>
      </c>
    </row>
    <row r="13" spans="1:4" x14ac:dyDescent="0.25">
      <c r="A13" t="s">
        <v>35</v>
      </c>
      <c r="B13">
        <v>16</v>
      </c>
      <c r="C13" s="1">
        <v>8</v>
      </c>
      <c r="D13" s="2">
        <f t="shared" si="1"/>
        <v>128</v>
      </c>
    </row>
    <row r="14" spans="1:4" x14ac:dyDescent="0.25">
      <c r="A14" t="s">
        <v>36</v>
      </c>
      <c r="B14">
        <v>16</v>
      </c>
      <c r="C14" s="1">
        <v>5</v>
      </c>
      <c r="D14" s="2">
        <f t="shared" si="1"/>
        <v>80</v>
      </c>
    </row>
    <row r="15" spans="1:4" x14ac:dyDescent="0.25">
      <c r="C15" s="7" t="s">
        <v>32</v>
      </c>
      <c r="D15" s="16">
        <f>SUM(D10:D14)</f>
        <v>524</v>
      </c>
    </row>
    <row r="16" spans="1:4" x14ac:dyDescent="0.25">
      <c r="C16" s="7" t="s">
        <v>42</v>
      </c>
      <c r="D16" s="16">
        <f>D7+D15</f>
        <v>797.5</v>
      </c>
    </row>
  </sheetData>
  <mergeCells count="2">
    <mergeCell ref="A1:D1"/>
    <mergeCell ref="A8:D8"/>
  </mergeCells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B52BB3F11FD82342AD368A3554FBC561" ma:contentTypeVersion="13" ma:contentTypeDescription="Crie um novo documento." ma:contentTypeScope="" ma:versionID="17a32ae92eeb96ca837a9993a87b8b8c">
  <xsd:schema xmlns:xsd="http://www.w3.org/2001/XMLSchema" xmlns:xs="http://www.w3.org/2001/XMLSchema" xmlns:p="http://schemas.microsoft.com/office/2006/metadata/properties" xmlns:ns3="dc32c53a-f367-4061-9bbb-9d8c8bc01ca0" xmlns:ns4="8a6f9168-8880-47d3-b079-e76c1bd990de" targetNamespace="http://schemas.microsoft.com/office/2006/metadata/properties" ma:root="true" ma:fieldsID="d40a4290aca66aef4158e82c69dcb6c8" ns3:_="" ns4:_="">
    <xsd:import namespace="dc32c53a-f367-4061-9bbb-9d8c8bc01ca0"/>
    <xsd:import namespace="8a6f9168-8880-47d3-b079-e76c1bd990de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4:SharedWithUsers" minOccurs="0"/>
                <xsd:element ref="ns4:SharedWithDetails" minOccurs="0"/>
                <xsd:element ref="ns4:SharingHintHash" minOccurs="0"/>
                <xsd:element ref="ns3:_activity" minOccurs="0"/>
                <xsd:element ref="ns3:MediaServiceObjectDetectorVersions" minOccurs="0"/>
                <xsd:element ref="ns3:MediaServiceSearchProperties" minOccurs="0"/>
                <xsd:element ref="ns3:MediaServiceDateTaken" minOccurs="0"/>
                <xsd:element ref="ns3:MediaServiceSystemTags" minOccurs="0"/>
                <xsd:element ref="ns3:MediaServiceOCR" minOccurs="0"/>
                <xsd:element ref="ns3:MediaServiceGenerationTime" minOccurs="0"/>
                <xsd:element ref="ns3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c32c53a-f367-4061-9bbb-9d8c8bc01ca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_activity" ma:index="13" nillable="true" ma:displayName="_activity" ma:hidden="true" ma:internalName="_activity">
      <xsd:simpleType>
        <xsd:restriction base="dms:Note"/>
      </xsd:simpleType>
    </xsd:element>
    <xsd:element name="MediaServiceObjectDetectorVersions" ma:index="1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SystemTags" ma:index="17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9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0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6f9168-8880-47d3-b079-e76c1bd990de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2" nillable="true" ma:displayName="Hash de Dica de Compartilhamento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dc32c53a-f367-4061-9bbb-9d8c8bc01ca0" xsi:nil="true"/>
  </documentManagement>
</p:properties>
</file>

<file path=customXml/itemProps1.xml><?xml version="1.0" encoding="utf-8"?>
<ds:datastoreItem xmlns:ds="http://schemas.openxmlformats.org/officeDocument/2006/customXml" ds:itemID="{99600FFC-0C7A-4573-BBF8-46AF84A0D32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c32c53a-f367-4061-9bbb-9d8c8bc01ca0"/>
    <ds:schemaRef ds:uri="8a6f9168-8880-47d3-b079-e76c1bd990d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0BB5A677-070B-461C-B13D-43D1CB5C243B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DEBF0285-38E2-4286-9B05-1105E23B03ED}">
  <ds:schemaRefs>
    <ds:schemaRef ds:uri="http://schemas.microsoft.com/office/2006/metadata/properties"/>
    <ds:schemaRef ds:uri="dc32c53a-f367-4061-9bbb-9d8c8bc01ca0"/>
    <ds:schemaRef ds:uri="http://purl.org/dc/dcmitype/"/>
    <ds:schemaRef ds:uri="http://purl.org/dc/elements/1.1/"/>
    <ds:schemaRef ds:uri="8a6f9168-8880-47d3-b079-e76c1bd990de"/>
    <ds:schemaRef ds:uri="http://www.w3.org/XML/1998/namespac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terms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Gantt01-Antes</vt:lpstr>
      <vt:lpstr>Gantt02-durante</vt:lpstr>
      <vt:lpstr>Errado</vt:lpstr>
      <vt:lpstr>Gantt-depois-fim</vt:lpstr>
      <vt:lpstr>Orçamento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WELLINGTON FABIO DE OLIVEIRA MARTINS</dc:creator>
  <cp:lastModifiedBy>WELLINGTON FABIO DE OLIVEIRA MARTINS</cp:lastModifiedBy>
  <dcterms:created xsi:type="dcterms:W3CDTF">2026-09-03T12:21:58Z</dcterms:created>
  <dcterms:modified xsi:type="dcterms:W3CDTF">2026-09-03T14:30:53Z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0x010100B52BB3F11FD82342AD368A3554FBC561</vt:lpwstr>
  </property>
</Properties>
</file>