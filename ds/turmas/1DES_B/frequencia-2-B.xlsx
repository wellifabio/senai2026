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1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8_{221560A6-6363-4463-A3F5-63D9E207FC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1" l="1"/>
  <c r="A32" i="1"/>
  <c r="B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<sst xmlns="http://schemas.openxmlformats.org/spreadsheetml/2006/main" count="254" uniqueCount="40">
  <si>
    <t>TER</t>
  </si>
  <si>
    <t>QUI</t>
  </si>
  <si>
    <t>RM</t>
  </si>
  <si>
    <t>Aluno</t>
  </si>
  <si>
    <t>Ordem</t>
  </si>
  <si>
    <t>P</t>
  </si>
  <si>
    <t>P/5</t>
  </si>
  <si>
    <t>carnaval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</si>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</sst>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0" fillId="0" borderId="0" xfId="0" applyAlignment="1">
      <alignment horizontal="center" vertical="center" textRotation="255"/>
    </xf>
  </cellXfs>
  <cellStyles count="2">
    <cellStyle name="Normal" xfId="0" builtinId="0"/>
    <cellStyle name="Pe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bottomRight" activeCell="B18" sqref="B18"/>
      <selection pane="bottomLeft" activeCell="A3" sqref="A3"/>
      <selection pane="topRight" activeCell="D1" sqref="D1"/>
    </sheetView>
  </sheetViews>
  <sheetFormatPr defaultColWidth="6.7109375" defaultRowHeight="1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>
      <c r="A3">
        <f>alunos!A2</f>
        <v>0</v>
      </c>
      <c r="B3" t="str">
        <f>alunos!B2</f>
        <v>Alicia Coelho Gomes de Oliveira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K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>
      <c r="A4">
        <f>alunos!A3</f>
        <v>0</v>
      </c>
      <c r="B4" t="str">
        <f>alunos!B3</f>
        <v>Ana Klara do Carmo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K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>
      <c r="A5">
        <f>alunos!A4</f>
        <v>0</v>
      </c>
      <c r="B5" t="str">
        <f>alunos!B4</f>
        <v>Breno Franco de Lima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K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>
      <c r="A6">
        <f>alunos!A5</f>
        <v>0</v>
      </c>
      <c r="B6" t="str">
        <f>alunos!B5</f>
        <v>Bruno Vascon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7</v>
      </c>
      <c r="K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>
      <c r="A7">
        <f>alunos!A6</f>
        <v>0</v>
      </c>
      <c r="B7" t="str">
        <f>alunos!B6</f>
        <v>Davi Parreira Cardeal</v>
      </c>
      <c r="C7">
        <v>5</v>
      </c>
      <c r="D7" t="s">
        <v>5</v>
      </c>
      <c r="E7" t="s">
        <v>5</v>
      </c>
      <c r="F7" t="s">
        <v>5</v>
      </c>
      <c r="G7" t="s">
        <v>5</v>
      </c>
      <c r="H7" t="s">
        <v>5</v>
      </c>
      <c r="I7" t="s">
        <v>5</v>
      </c>
      <c r="J7" s="8"/>
      <c r="K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>
      <c r="A8">
        <f>alunos!A7</f>
        <v>0</v>
      </c>
      <c r="B8" t="str">
        <f>alunos!B7</f>
        <v>Eloísa Macedo da Silva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/>
      <c r="K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>
      <c r="A9">
        <f>alunos!A8</f>
        <v>0</v>
      </c>
      <c r="B9" t="str">
        <f>alunos!B8</f>
        <v>Enzo Casadei Macedo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/>
      <c r="K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>
      <c r="A10">
        <f>alunos!A9</f>
        <v>0</v>
      </c>
      <c r="B10" t="str">
        <f>alunos!B9</f>
        <v>Felipe Martins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/>
      <c r="K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>
      <c r="A11">
        <f>alunos!A10</f>
        <v>0</v>
      </c>
      <c r="B11" t="str">
        <f>alunos!B10</f>
        <v>Gabriel Pereira de Oliveira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/>
      <c r="K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>
      <c r="A12">
        <f>alunos!A11</f>
        <v>0</v>
      </c>
      <c r="B12" t="str">
        <f>alunos!B11</f>
        <v>Giovana Luísa Cezar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/>
      <c r="K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>
      <c r="A13">
        <f>alunos!A12</f>
        <v>0</v>
      </c>
      <c r="B13" t="str">
        <f>alunos!B12</f>
        <v>Guilherme Enrico Barichello</v>
      </c>
      <c r="C13">
        <v>11</v>
      </c>
      <c r="D13" t="s">
        <v>5</v>
      </c>
      <c r="E13" t="s">
        <v>5</v>
      </c>
      <c r="F13" t="s">
        <v>5</v>
      </c>
      <c r="G13" t="s">
        <v>5</v>
      </c>
      <c r="H13" t="s">
        <v>5</v>
      </c>
      <c r="I13" t="s">
        <v>5</v>
      </c>
      <c r="J13" s="8"/>
      <c r="K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>
      <c r="A14">
        <f>alunos!A13</f>
        <v>0</v>
      </c>
      <c r="B14" t="str">
        <f>alunos!B13</f>
        <v>Isabele Hilary Reis Silva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/>
      <c r="K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>
      <c r="A15">
        <f>alunos!A14</f>
        <v>0</v>
      </c>
      <c r="B15" t="str">
        <f>alunos!B14</f>
        <v>Isabelle Moreira Cezar Barichello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/>
      <c r="K15" t="s">
        <v>8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>
      <c r="A16">
        <f>alunos!A15</f>
        <v>0</v>
      </c>
      <c r="B16" t="str">
        <f>alunos!B15</f>
        <v>Jéssica Guedes Vaz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/>
      <c r="K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>
      <c r="A17">
        <f>alunos!A16</f>
        <v>0</v>
      </c>
      <c r="B17" t="str">
        <f>alunos!B16</f>
        <v>Joana Fernandes Fabrin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/>
      <c r="K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>
      <c r="A18">
        <f>alunos!A17</f>
        <v>0</v>
      </c>
      <c r="B18" t="str">
        <f>alunos!B17</f>
        <v>João Henrique Leme da Silva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/>
      <c r="K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>
      <c r="A19">
        <f>alunos!A18</f>
        <v>0</v>
      </c>
      <c r="B19" t="str">
        <f>alunos!B18</f>
        <v>João Victor Moraes Lopes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/>
      <c r="K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>
      <c r="A20">
        <f>alunos!A19</f>
        <v>0</v>
      </c>
      <c r="B20" t="str">
        <f>alunos!B19</f>
        <v>Kamilly Vitoria Ferreira Silvério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/>
      <c r="K20" t="s">
        <v>8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>
      <c r="A21">
        <f>alunos!A20</f>
        <v>0</v>
      </c>
      <c r="B21" t="str">
        <f>alunos!B20</f>
        <v>Leonardo Canina Marchiori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8</v>
      </c>
      <c r="I21" t="s">
        <v>5</v>
      </c>
      <c r="J21" s="8"/>
      <c r="K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>
      <c r="A22">
        <f>alunos!A21</f>
        <v>0</v>
      </c>
      <c r="B22" t="str">
        <f>alunos!B21</f>
        <v>Lívia Fernandes Morais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/>
      <c r="K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>
      <c r="A23">
        <f>alunos!A22</f>
        <v>0</v>
      </c>
      <c r="B23" t="str">
        <f>alunos!B22</f>
        <v>Maria Eduarda Betim Gomes de Moraes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5</v>
      </c>
      <c r="I23" t="s">
        <v>5</v>
      </c>
      <c r="J23" s="8"/>
      <c r="K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>
      <c r="A24">
        <f>alunos!A23</f>
        <v>0</v>
      </c>
      <c r="B24" t="str">
        <f>alunos!B23</f>
        <v>Mariana Correia Santos</v>
      </c>
      <c r="C24">
        <v>22</v>
      </c>
      <c r="D24" t="s">
        <v>5</v>
      </c>
      <c r="E24" t="s">
        <v>5</v>
      </c>
      <c r="F24" t="s">
        <v>5</v>
      </c>
      <c r="G24" t="s">
        <v>5</v>
      </c>
      <c r="H24" t="s">
        <v>5</v>
      </c>
      <c r="I24" t="s">
        <v>5</v>
      </c>
      <c r="J24" s="8"/>
      <c r="K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>
      <c r="A25">
        <f>alunos!A24</f>
        <v>0</v>
      </c>
      <c r="B25" t="str">
        <f>alunos!B24</f>
        <v>Miguel Cardoso Pignata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/>
      <c r="K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>
      <c r="A26">
        <f>alunos!A25</f>
        <v>0</v>
      </c>
      <c r="B26" t="str">
        <f>alunos!B25</f>
        <v>Mirella Camilotti Perez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/>
      <c r="K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>
      <c r="A27">
        <f>alunos!A26</f>
        <v>0</v>
      </c>
      <c r="B27" t="str">
        <f>alunos!B26</f>
        <v>Pietro Cardoso Broleze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/>
      <c r="K27" t="s">
        <v>8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>
      <c r="A28">
        <f>alunos!A27</f>
        <v>0</v>
      </c>
      <c r="B28" t="str">
        <f>alunos!B27</f>
        <v>Samuel Gomes Silva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/>
      <c r="K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>
      <c r="A29">
        <f>alunos!A28</f>
        <v>0</v>
      </c>
      <c r="B29" t="str">
        <f>alunos!B28</f>
        <v>Thiago Lima Amaral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/>
      <c r="K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>
      <c r="A30">
        <f>alunos!A29</f>
        <v>0</v>
      </c>
      <c r="B30" t="str">
        <f>alunos!B29</f>
        <v>Vitor Rafael Parisato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/>
      <c r="K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>
      <c r="A31">
        <f>alunos!A30</f>
        <v>0</v>
      </c>
      <c r="B31" t="str">
        <f>alunos!B30</f>
        <v>Yasmin Drudi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/>
      <c r="K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>
      <c r="A32">
        <f>alunos!A31</f>
        <v>0</v>
      </c>
      <c r="B32" t="str">
        <f>alunos!B31</f>
        <v>Giovana Ferreira Remorini</v>
      </c>
      <c r="C32">
        <v>30</v>
      </c>
      <c r="G32" t="s">
        <v>5</v>
      </c>
      <c r="H32" t="s">
        <v>5</v>
      </c>
      <c r="I32" t="s">
        <v>5</v>
      </c>
      <c r="J32" s="8"/>
      <c r="K32" t="s">
        <v>5</v>
      </c>
    </row>
    <row r="33" spans="2:11">
      <c r="B33" t="str">
        <f>alunos!B32</f>
        <v>Carolina da Silva Santos</v>
      </c>
      <c r="C33">
        <v>31</v>
      </c>
      <c r="K33" t="s">
        <v>5</v>
      </c>
    </row>
  </sheetData>
  <sortState xmlns:xlrd2="http://schemas.microsoft.com/office/spreadsheetml/2017/richdata2" ref="B3:B31">
    <sortCondition ref="B3:B31"/>
  </sortState>
  <mergeCells count="1">
    <mergeCell ref="J6:J32"/>
  </mergeCells>
  <phoneticPr fontId="3" type="noConversion"/>
  <conditionalFormatting sqref="D3:AZ3 BE3:DG3 BB3:BB22 H4:AZ6 BE4:BJ10 D4:G31 BK4:DG31 BC11:BJ22 G32:I32 K23:BJ31 K11:BA22 H7:I31 K7:AZ10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C27" sqref="C27"/>
    </sheetView>
  </sheetViews>
  <sheetFormatPr defaultRowHeight="1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>
      <c r="A1" t="s">
        <v>2</v>
      </c>
      <c r="B1" t="s">
        <v>3</v>
      </c>
    </row>
    <row r="2" spans="1:2">
      <c r="B2" t="s">
        <v>9</v>
      </c>
    </row>
    <row r="3" spans="1:2">
      <c r="B3" t="s">
        <v>10</v>
      </c>
    </row>
    <row r="4" spans="1:2">
      <c r="B4" t="s">
        <v>11</v>
      </c>
    </row>
    <row r="5" spans="1:2">
      <c r="B5" t="s">
        <v>12</v>
      </c>
    </row>
    <row r="6" spans="1:2">
      <c r="B6" t="s">
        <v>13</v>
      </c>
    </row>
    <row r="7" spans="1:2">
      <c r="B7" t="s">
        <v>14</v>
      </c>
    </row>
    <row r="8" spans="1:2">
      <c r="B8" t="s">
        <v>15</v>
      </c>
    </row>
    <row r="9" spans="1:2">
      <c r="B9" t="s">
        <v>16</v>
      </c>
    </row>
    <row r="10" spans="1:2">
      <c r="B10" t="s">
        <v>17</v>
      </c>
    </row>
    <row r="11" spans="1:2">
      <c r="B11" t="s">
        <v>18</v>
      </c>
    </row>
    <row r="12" spans="1:2">
      <c r="B12" t="s">
        <v>19</v>
      </c>
    </row>
    <row r="13" spans="1:2">
      <c r="B13" t="s">
        <v>20</v>
      </c>
    </row>
    <row r="14" spans="1:2">
      <c r="B14" t="s">
        <v>21</v>
      </c>
    </row>
    <row r="15" spans="1:2">
      <c r="B15" t="s">
        <v>22</v>
      </c>
    </row>
    <row r="16" spans="1:2">
      <c r="B16" t="s">
        <v>23</v>
      </c>
    </row>
    <row r="17" spans="2:2">
      <c r="B17" t="s">
        <v>24</v>
      </c>
    </row>
    <row r="18" spans="2:2">
      <c r="B18" t="s">
        <v>25</v>
      </c>
    </row>
    <row r="19" spans="2:2">
      <c r="B19" t="s">
        <v>26</v>
      </c>
    </row>
    <row r="20" spans="2:2">
      <c r="B20" t="s">
        <v>27</v>
      </c>
    </row>
    <row r="21" spans="2:2">
      <c r="B21" t="s">
        <v>28</v>
      </c>
    </row>
    <row r="22" spans="2:2">
      <c r="B22" t="s">
        <v>29</v>
      </c>
    </row>
    <row r="23" spans="2:2">
      <c r="B23" t="s">
        <v>30</v>
      </c>
    </row>
    <row r="24" spans="2:2">
      <c r="B24" t="s">
        <v>31</v>
      </c>
    </row>
    <row r="25" spans="2:2">
      <c r="B25" t="s">
        <v>32</v>
      </c>
    </row>
    <row r="26" spans="2:2">
      <c r="B26" t="s">
        <v>33</v>
      </c>
    </row>
    <row r="27" spans="2:2">
      <c r="B27" t="s">
        <v>34</v>
      </c>
    </row>
    <row r="28" spans="2:2">
      <c r="B28" t="s">
        <v>35</v>
      </c>
    </row>
    <row r="29" spans="2:2">
      <c r="B29" t="s">
        <v>36</v>
      </c>
    </row>
    <row r="30" spans="2:2">
      <c r="B30" t="s">
        <v>37</v>
      </c>
    </row>
    <row r="31" spans="2:2">
      <c r="B31" t="s">
        <v>38</v>
      </c>
    </row>
    <row r="32" spans="2:2">
      <c r="B32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/>
  <cols>
    <col min="1" max="1" width="36.42578125" bestFit="1" customWidth="1"/>
  </cols>
  <sheetData>
    <row r="2" spans="1:1">
      <c r="A2" t="s">
        <v>3</v>
      </c>
    </row>
    <row r="3" spans="1:1">
      <c r="A3" t="str">
        <f>alunos!B2</f>
        <v>Alicia Coelho Gomes de Oliveira</v>
      </c>
    </row>
    <row r="4" spans="1:1">
      <c r="A4" t="str">
        <f>alunos!B3</f>
        <v>Ana Klara do Carmo</v>
      </c>
    </row>
    <row r="5" spans="1:1">
      <c r="A5" t="str">
        <f>alunos!B4</f>
        <v>Breno Franco de Lima</v>
      </c>
    </row>
    <row r="6" spans="1:1">
      <c r="A6" t="str">
        <f>alunos!B5</f>
        <v>Bruno Vascon</v>
      </c>
    </row>
    <row r="7" spans="1:1">
      <c r="A7" t="str">
        <f>alunos!B6</f>
        <v>Davi Parreira Cardeal</v>
      </c>
    </row>
    <row r="8" spans="1:1">
      <c r="A8" t="str">
        <f>alunos!B7</f>
        <v>Eloísa Macedo da Silva</v>
      </c>
    </row>
    <row r="9" spans="1:1">
      <c r="A9" t="str">
        <f>alunos!B8</f>
        <v>Enzo Casadei Macedo</v>
      </c>
    </row>
    <row r="10" spans="1:1">
      <c r="A10" t="str">
        <f>alunos!B9</f>
        <v>Felipe Martins</v>
      </c>
    </row>
    <row r="11" spans="1:1">
      <c r="A11" t="str">
        <f>alunos!B10</f>
        <v>Gabriel Pereira de Oliveira</v>
      </c>
    </row>
    <row r="12" spans="1:1">
      <c r="A12" t="str">
        <f>alunos!B11</f>
        <v>Giovana Luísa Cezar</v>
      </c>
    </row>
    <row r="13" spans="1:1">
      <c r="A13" t="str">
        <f>alunos!B12</f>
        <v>Guilherme Enrico Barichello</v>
      </c>
    </row>
    <row r="14" spans="1:1">
      <c r="A14" t="str">
        <f>alunos!B13</f>
        <v>Isabele Hilary Reis Silva</v>
      </c>
    </row>
    <row r="15" spans="1:1">
      <c r="A15" t="str">
        <f>alunos!B14</f>
        <v>Isabelle Moreira Cezar Barichello</v>
      </c>
    </row>
    <row r="16" spans="1:1">
      <c r="A16" t="str">
        <f>alunos!B15</f>
        <v>Jéssica Guedes Vaz</v>
      </c>
    </row>
    <row r="17" spans="1:1">
      <c r="A17" t="str">
        <f>alunos!B16</f>
        <v>Joana Fernandes Fabrin</v>
      </c>
    </row>
    <row r="18" spans="1:1">
      <c r="A18" t="str">
        <f>alunos!B17</f>
        <v>João Henrique Leme da Silva</v>
      </c>
    </row>
    <row r="19" spans="1:1">
      <c r="A19" t="str">
        <f>alunos!B18</f>
        <v>João Victor Moraes Lopes</v>
      </c>
    </row>
    <row r="20" spans="1:1">
      <c r="A20" t="str">
        <f>alunos!B19</f>
        <v>Kamilly Vitoria Ferreira Silvério</v>
      </c>
    </row>
    <row r="21" spans="1:1">
      <c r="A21" t="str">
        <f>alunos!B20</f>
        <v>Leonardo Canina Marchiori</v>
      </c>
    </row>
    <row r="22" spans="1:1">
      <c r="A22" t="str">
        <f>alunos!B21</f>
        <v>Lívia Fernandes Morais</v>
      </c>
    </row>
    <row r="23" spans="1:1">
      <c r="A23" t="str">
        <f>alunos!B22</f>
        <v>Maria Eduarda Betim Gomes de Moraes</v>
      </c>
    </row>
    <row r="24" spans="1:1">
      <c r="A24" t="str">
        <f>alunos!B23</f>
        <v>Mariana Correia Santos</v>
      </c>
    </row>
    <row r="25" spans="1:1">
      <c r="A25" t="str">
        <f>alunos!B24</f>
        <v>Miguel Cardoso Pignata</v>
      </c>
    </row>
    <row r="26" spans="1:1">
      <c r="A26" t="str">
        <f>alunos!B25</f>
        <v>Mirella Camilotti Perez</v>
      </c>
    </row>
    <row r="27" spans="1:1">
      <c r="A27" t="str">
        <f>alunos!B26</f>
        <v>Pietro Cardoso Broleze</v>
      </c>
    </row>
    <row r="28" spans="1:1">
      <c r="A28" t="str">
        <f>alunos!B27</f>
        <v>Samuel Gomes Silva</v>
      </c>
    </row>
    <row r="29" spans="1:1">
      <c r="A29" t="str">
        <f>alunos!B28</f>
        <v>Thiago Lima Amaral</v>
      </c>
    </row>
    <row r="30" spans="1:1">
      <c r="A30" t="str">
        <f>alunos!B29</f>
        <v>Vitor Rafael Parisato</v>
      </c>
    </row>
    <row r="31" spans="1:1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/>
  <cp:revision/>
  <dcterms:created xsi:type="dcterms:W3CDTF">2024-01-26T16:22:51Z</dcterms:created>
  <dcterms:modified xsi:type="dcterms:W3CDTF">2026-02-19T20:14:49Z</dcterms:modified>
  <cp:category/>
  <cp:contentStatus/>
</cp:coreProperties>
</file>