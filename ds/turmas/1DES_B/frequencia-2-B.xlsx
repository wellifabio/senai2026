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sn1089986\Documents\senai2026\ds\turmas\1DES_B\"/>
    </mc:Choice>
  </mc:AlternateContent>
  <xr:revisionPtr revIDLastSave="0" documentId="13_ncr:1_{1732D3F1-98B1-48A1-B8E3-9DD18E7880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/>
  <c r="T2" i="1"/>
  <c r="U2" i="1"/>
  <c r="V2" i="1"/>
  <c r="W2" i="1"/>
  <c r="X2" i="1"/>
  <c r="Y2" i="1"/>
  <c r="Z2" i="1"/>
  <c r="AA2" i="1"/>
  <c r="AB2" i="1"/>
  <c r="AC2" i="1"/>
  <c r="Q2" i="1"/>
  <c r="R2" i="1"/>
  <c r="P2" i="1"/>
  <c r="O2" i="1"/>
  <c r="B34" i="1"/>
  <c r="A34" i="1"/>
  <c r="A33" i="1"/>
  <c r="B33" i="1"/>
  <c r="A32" i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<sst xmlns="http://schemas.openxmlformats.org/spreadsheetml/2006/main" count="369" uniqueCount="41">
  <si>
    <t>TER</t>
  </si>
  <si>
    <t>QUI</t>
  </si>
  <si>
    <t>RM</t>
  </si>
  <si>
    <t>Aluno</t>
  </si>
  <si>
    <t>Ordem</t>
  </si>
  <si>
    <t>P</t>
  </si>
  <si>
    <t>P/5</t>
  </si>
  <si>
    <t>carnaval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</si>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</sst>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Alignment="1">
      <alignment horizontal="center" vertical="center" textRotation="255"/>
    </xf>
    <xf numFmtId="0" fontId="5" fillId="0" borderId="0" xfId="0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28" sqref="N28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f>N2+5</f>
        <v>46089</v>
      </c>
      <c r="Q2" s="1">
        <f>P2+2</f>
        <v>46091</v>
      </c>
      <c r="R2" s="1">
        <f>P2+5</f>
        <v>46094</v>
      </c>
      <c r="S2" s="1">
        <f t="shared" ref="S2:AC2" si="0">R2+2</f>
        <v>46096</v>
      </c>
      <c r="T2" s="1">
        <f t="shared" ref="T2" si="1">R2+5</f>
        <v>46099</v>
      </c>
      <c r="U2" s="1">
        <f t="shared" ref="U2:AC2" si="2">T2+2</f>
        <v>46101</v>
      </c>
      <c r="V2" s="1">
        <f t="shared" ref="V2" si="3">T2+5</f>
        <v>46104</v>
      </c>
      <c r="W2" s="1">
        <f t="shared" ref="W2:AC2" si="4">V2+2</f>
        <v>46106</v>
      </c>
      <c r="X2" s="1">
        <f t="shared" ref="X2" si="5">V2+5</f>
        <v>46109</v>
      </c>
      <c r="Y2" s="1">
        <f t="shared" ref="Y2:AC2" si="6">X2+2</f>
        <v>46111</v>
      </c>
      <c r="Z2" s="1">
        <f t="shared" ref="Z2" si="7">X2+5</f>
        <v>46114</v>
      </c>
      <c r="AA2" s="1">
        <f t="shared" ref="AA2:AC2" si="8">Z2+2</f>
        <v>46116</v>
      </c>
      <c r="AB2" s="1">
        <f t="shared" ref="AB2" si="9">Z2+5</f>
        <v>46119</v>
      </c>
      <c r="AC2" s="1">
        <f t="shared" ref="AC2" si="10">AB2+2</f>
        <v>46121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Alicia Coelho Gomes de Oliveira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K3" t="s">
        <v>5</v>
      </c>
      <c r="L3" t="s">
        <v>5</v>
      </c>
      <c r="M3" t="s">
        <v>5</v>
      </c>
      <c r="N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Klara do Carmo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K4" t="s">
        <v>5</v>
      </c>
      <c r="L4" t="s">
        <v>5</v>
      </c>
      <c r="M4" t="s">
        <v>5</v>
      </c>
      <c r="N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Franco de Lima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K5" t="s">
        <v>5</v>
      </c>
      <c r="L5" t="s">
        <v>5</v>
      </c>
      <c r="M5" t="s">
        <v>5</v>
      </c>
      <c r="N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Bruno Vascon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7</v>
      </c>
      <c r="K6" t="s">
        <v>5</v>
      </c>
      <c r="L6" t="s">
        <v>5</v>
      </c>
      <c r="M6" t="s">
        <v>5</v>
      </c>
      <c r="N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Davi Parreira Cardeal</v>
      </c>
      <c r="C7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s="8"/>
      <c r="K7" t="s">
        <v>5</v>
      </c>
      <c r="L7" t="s">
        <v>5</v>
      </c>
      <c r="M7" t="s">
        <v>5</v>
      </c>
      <c r="N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Eloísa Macedo da Silva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/>
      <c r="K8" t="s">
        <v>5</v>
      </c>
      <c r="L8" t="s">
        <v>5</v>
      </c>
      <c r="M8" t="s">
        <v>5</v>
      </c>
      <c r="N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Enzo Casadei Macedo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/>
      <c r="K9" t="s">
        <v>5</v>
      </c>
      <c r="L9" t="s">
        <v>5</v>
      </c>
      <c r="M9" t="s">
        <v>5</v>
      </c>
      <c r="N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Felipe Martins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/>
      <c r="K10" t="s">
        <v>5</v>
      </c>
      <c r="L10" t="s">
        <v>5</v>
      </c>
      <c r="M10" t="s">
        <v>5</v>
      </c>
      <c r="N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 Pereira de Oliveira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/>
      <c r="K11" t="s">
        <v>5</v>
      </c>
      <c r="L11" t="s">
        <v>5</v>
      </c>
      <c r="M11" t="s">
        <v>5</v>
      </c>
      <c r="N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Giovana Luísa Cezar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/>
      <c r="K12" t="s">
        <v>5</v>
      </c>
      <c r="L12" t="s">
        <v>5</v>
      </c>
      <c r="M12" t="s">
        <v>5</v>
      </c>
      <c r="N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Guilherme Enrico Barichello</v>
      </c>
      <c r="C13">
        <v>11</v>
      </c>
      <c r="D13" t="s">
        <v>5</v>
      </c>
      <c r="E13" t="s">
        <v>5</v>
      </c>
      <c r="F13" t="s">
        <v>5</v>
      </c>
      <c r="G13" t="s">
        <v>5</v>
      </c>
      <c r="H13" t="s">
        <v>5</v>
      </c>
      <c r="I13" t="s">
        <v>5</v>
      </c>
      <c r="J13" s="8"/>
      <c r="K13" t="s">
        <v>5</v>
      </c>
      <c r="L13" t="s">
        <v>5</v>
      </c>
      <c r="M13" t="s">
        <v>5</v>
      </c>
      <c r="N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Isabele Hilary Reis Silva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/>
      <c r="K14" t="s">
        <v>5</v>
      </c>
      <c r="L14" t="s">
        <v>5</v>
      </c>
      <c r="M14" t="s">
        <v>8</v>
      </c>
      <c r="N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Moreira Cezar Barichello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/>
      <c r="K15" t="s">
        <v>8</v>
      </c>
      <c r="L15" t="s">
        <v>5</v>
      </c>
      <c r="M15" t="s">
        <v>5</v>
      </c>
      <c r="N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Jéssica Guedes Vaz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/>
      <c r="K16" t="s">
        <v>5</v>
      </c>
      <c r="L16" t="s">
        <v>5</v>
      </c>
      <c r="M16" t="s">
        <v>5</v>
      </c>
      <c r="N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Joana Fernandes Fabrin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/>
      <c r="K17" t="s">
        <v>5</v>
      </c>
      <c r="L17" t="s">
        <v>5</v>
      </c>
      <c r="M17" t="s">
        <v>5</v>
      </c>
      <c r="N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João Henrique Leme da Silva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/>
      <c r="K18" t="s">
        <v>5</v>
      </c>
      <c r="L18" t="s">
        <v>5</v>
      </c>
      <c r="M18" t="s">
        <v>5</v>
      </c>
      <c r="N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João Victor Moraes Lopes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/>
      <c r="K19" t="s">
        <v>5</v>
      </c>
      <c r="L19" t="s">
        <v>5</v>
      </c>
      <c r="M19" t="s">
        <v>5</v>
      </c>
      <c r="N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Kamilly Vitoria Ferreira Silvério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/>
      <c r="K20" t="s">
        <v>8</v>
      </c>
      <c r="L20" t="s">
        <v>5</v>
      </c>
      <c r="M20" t="s">
        <v>5</v>
      </c>
      <c r="N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Leonardo Canina Marchiori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8</v>
      </c>
      <c r="I21" t="s">
        <v>5</v>
      </c>
      <c r="J21" s="8"/>
      <c r="K21" t="s">
        <v>5</v>
      </c>
      <c r="L21" t="s">
        <v>5</v>
      </c>
      <c r="M21" t="s">
        <v>5</v>
      </c>
      <c r="N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Lívia Fernandes Morais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/>
      <c r="K22" t="s">
        <v>5</v>
      </c>
      <c r="L22" t="s">
        <v>5</v>
      </c>
      <c r="M22" t="s">
        <v>5</v>
      </c>
      <c r="N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Maria Eduarda Betim Gomes de Moraes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5</v>
      </c>
      <c r="I23" t="s">
        <v>5</v>
      </c>
      <c r="J23" s="8"/>
      <c r="K23" t="s">
        <v>5</v>
      </c>
      <c r="L23" t="s">
        <v>5</v>
      </c>
      <c r="M23" t="s">
        <v>5</v>
      </c>
      <c r="N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Mariana Correia Santos</v>
      </c>
      <c r="C24">
        <v>22</v>
      </c>
      <c r="D24" t="s">
        <v>5</v>
      </c>
      <c r="E24" t="s">
        <v>5</v>
      </c>
      <c r="F24" t="s">
        <v>5</v>
      </c>
      <c r="G24" t="s">
        <v>5</v>
      </c>
      <c r="H24" t="s">
        <v>5</v>
      </c>
      <c r="I24" t="s">
        <v>5</v>
      </c>
      <c r="J24" s="8"/>
      <c r="K24" t="s">
        <v>5</v>
      </c>
      <c r="L24" t="s">
        <v>5</v>
      </c>
      <c r="M24" t="s">
        <v>5</v>
      </c>
      <c r="N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Miguel Cardoso Pignata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/>
      <c r="K25" t="s">
        <v>5</v>
      </c>
      <c r="L25" t="s">
        <v>5</v>
      </c>
      <c r="M25" t="s">
        <v>5</v>
      </c>
      <c r="N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Mirella Camilotti Perez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/>
      <c r="K26" t="s">
        <v>5</v>
      </c>
      <c r="L26" t="s">
        <v>5</v>
      </c>
      <c r="M26" t="s">
        <v>5</v>
      </c>
      <c r="N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Pietro Cardoso Broleze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/>
      <c r="K27" t="s">
        <v>8</v>
      </c>
      <c r="L27" t="s">
        <v>5</v>
      </c>
      <c r="M27" t="s">
        <v>8</v>
      </c>
      <c r="N27" t="s">
        <v>8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Samuel Gomes Silva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/>
      <c r="K28" t="s">
        <v>5</v>
      </c>
      <c r="L28" t="s">
        <v>5</v>
      </c>
      <c r="M28" t="s">
        <v>5</v>
      </c>
      <c r="N28" s="9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Thiago Lima Amaral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/>
      <c r="K29" t="s">
        <v>5</v>
      </c>
      <c r="L29" t="s">
        <v>5</v>
      </c>
      <c r="M29" t="s">
        <v>5</v>
      </c>
      <c r="N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Vitor Rafael Parisato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/>
      <c r="K30" t="s">
        <v>5</v>
      </c>
      <c r="L30" t="s">
        <v>5</v>
      </c>
      <c r="M30" t="s">
        <v>5</v>
      </c>
      <c r="N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Yasmin Drudi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/>
      <c r="K31" t="s">
        <v>5</v>
      </c>
      <c r="L31" t="s">
        <v>5</v>
      </c>
      <c r="M31" t="s">
        <v>5</v>
      </c>
      <c r="N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Giovana Ferreira Remorini</v>
      </c>
      <c r="C32">
        <v>30</v>
      </c>
      <c r="G32" t="s">
        <v>5</v>
      </c>
      <c r="H32" t="s">
        <v>5</v>
      </c>
      <c r="I32" t="s">
        <v>5</v>
      </c>
      <c r="J32" s="8"/>
      <c r="K32" t="s">
        <v>5</v>
      </c>
      <c r="L32" t="s">
        <v>5</v>
      </c>
      <c r="M32" t="s">
        <v>5</v>
      </c>
      <c r="N32" t="s">
        <v>5</v>
      </c>
    </row>
    <row r="33" spans="1:14" x14ac:dyDescent="0.25">
      <c r="A33">
        <f>alunos!A32</f>
        <v>0</v>
      </c>
      <c r="B33" t="str">
        <f>alunos!B32</f>
        <v>Carolina da Silva Santos</v>
      </c>
      <c r="C33">
        <v>31</v>
      </c>
      <c r="K33" t="s">
        <v>5</v>
      </c>
      <c r="L33" t="s">
        <v>5</v>
      </c>
      <c r="M33" t="s">
        <v>5</v>
      </c>
      <c r="N33" t="s">
        <v>5</v>
      </c>
    </row>
    <row r="34" spans="1:14" x14ac:dyDescent="0.25">
      <c r="A34">
        <f>alunos!A33</f>
        <v>0</v>
      </c>
      <c r="B34" t="str">
        <f>alunos!B33</f>
        <v>Letícia Guarizo Tolloto</v>
      </c>
      <c r="C34">
        <v>32</v>
      </c>
      <c r="L34" t="s">
        <v>5</v>
      </c>
      <c r="M34" t="s">
        <v>5</v>
      </c>
      <c r="N34" t="s">
        <v>5</v>
      </c>
    </row>
  </sheetData>
  <sortState xmlns:xlrd2="http://schemas.microsoft.com/office/spreadsheetml/2017/richdata2" ref="B3:B31">
    <sortCondition ref="B3:B31"/>
  </sortState>
  <mergeCells count="1">
    <mergeCell ref="J6:J32"/>
  </mergeCells>
  <phoneticPr fontId="3" type="noConversion"/>
  <conditionalFormatting sqref="BE3:DG3 BB3:BB22 H4:M6 BE4:BJ10 D4:G31 BK4:DG31 BC11:BJ22 G32:I32 H7:I31 K7:M31 D3:AZ3 O11:BA22 O23:BJ31 O4:AZ10 N4:N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9</v>
      </c>
    </row>
    <row r="3" spans="1:2" x14ac:dyDescent="0.25">
      <c r="B3" t="s">
        <v>10</v>
      </c>
    </row>
    <row r="4" spans="1:2" x14ac:dyDescent="0.25">
      <c r="B4" t="s">
        <v>11</v>
      </c>
    </row>
    <row r="5" spans="1:2" x14ac:dyDescent="0.25">
      <c r="B5" t="s">
        <v>12</v>
      </c>
    </row>
    <row r="6" spans="1:2" x14ac:dyDescent="0.25">
      <c r="B6" t="s">
        <v>13</v>
      </c>
    </row>
    <row r="7" spans="1:2" x14ac:dyDescent="0.25">
      <c r="B7" t="s">
        <v>14</v>
      </c>
    </row>
    <row r="8" spans="1:2" x14ac:dyDescent="0.25">
      <c r="B8" t="s">
        <v>15</v>
      </c>
    </row>
    <row r="9" spans="1:2" x14ac:dyDescent="0.25">
      <c r="B9" t="s">
        <v>16</v>
      </c>
    </row>
    <row r="10" spans="1:2" x14ac:dyDescent="0.25">
      <c r="B10" t="s">
        <v>17</v>
      </c>
    </row>
    <row r="11" spans="1:2" x14ac:dyDescent="0.25">
      <c r="B11" t="s">
        <v>18</v>
      </c>
    </row>
    <row r="12" spans="1:2" x14ac:dyDescent="0.25">
      <c r="B12" t="s">
        <v>19</v>
      </c>
    </row>
    <row r="13" spans="1:2" x14ac:dyDescent="0.25">
      <c r="B13" t="s">
        <v>20</v>
      </c>
    </row>
    <row r="14" spans="1:2" x14ac:dyDescent="0.25">
      <c r="B14" t="s">
        <v>21</v>
      </c>
    </row>
    <row r="15" spans="1:2" x14ac:dyDescent="0.25">
      <c r="B15" t="s">
        <v>22</v>
      </c>
    </row>
    <row r="16" spans="1:2" x14ac:dyDescent="0.25">
      <c r="B16" t="s">
        <v>23</v>
      </c>
    </row>
    <row r="17" spans="2:2" x14ac:dyDescent="0.25">
      <c r="B17" t="s">
        <v>24</v>
      </c>
    </row>
    <row r="18" spans="2:2" x14ac:dyDescent="0.25">
      <c r="B18" t="s">
        <v>25</v>
      </c>
    </row>
    <row r="19" spans="2:2" x14ac:dyDescent="0.25">
      <c r="B19" t="s">
        <v>26</v>
      </c>
    </row>
    <row r="20" spans="2:2" x14ac:dyDescent="0.25">
      <c r="B20" t="s">
        <v>27</v>
      </c>
    </row>
    <row r="21" spans="2:2" x14ac:dyDescent="0.25">
      <c r="B21" t="s">
        <v>28</v>
      </c>
    </row>
    <row r="22" spans="2:2" x14ac:dyDescent="0.25">
      <c r="B22" t="s">
        <v>29</v>
      </c>
    </row>
    <row r="23" spans="2:2" x14ac:dyDescent="0.25">
      <c r="B23" t="s">
        <v>30</v>
      </c>
    </row>
    <row r="24" spans="2:2" x14ac:dyDescent="0.25">
      <c r="B24" t="s">
        <v>31</v>
      </c>
    </row>
    <row r="25" spans="2:2" x14ac:dyDescent="0.25">
      <c r="B25" t="s">
        <v>32</v>
      </c>
    </row>
    <row r="26" spans="2:2" x14ac:dyDescent="0.25">
      <c r="B26" t="s">
        <v>33</v>
      </c>
    </row>
    <row r="27" spans="2:2" x14ac:dyDescent="0.25">
      <c r="B27" t="s">
        <v>34</v>
      </c>
    </row>
    <row r="28" spans="2:2" x14ac:dyDescent="0.25">
      <c r="B28" t="s">
        <v>35</v>
      </c>
    </row>
    <row r="29" spans="2:2" x14ac:dyDescent="0.25">
      <c r="B29" t="s">
        <v>36</v>
      </c>
    </row>
    <row r="30" spans="2:2" x14ac:dyDescent="0.25">
      <c r="B30" t="s">
        <v>37</v>
      </c>
    </row>
    <row r="31" spans="2:2" x14ac:dyDescent="0.25">
      <c r="B31" t="s">
        <v>38</v>
      </c>
    </row>
    <row r="32" spans="2:2" x14ac:dyDescent="0.25">
      <c r="B32" t="s">
        <v>39</v>
      </c>
    </row>
    <row r="33" spans="2:2" x14ac:dyDescent="0.25">
      <c r="B33" t="s">
        <v>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 Bacchin de Souza</cp:lastModifiedBy>
  <cp:revision/>
  <dcterms:created xsi:type="dcterms:W3CDTF">2024-01-26T16:22:51Z</dcterms:created>
  <dcterms:modified xsi:type="dcterms:W3CDTF">2026-03-03T13:35:36Z</dcterms:modified>
  <cp:category/>
  <cp:contentStatus/>
</cp:coreProperties>
</file>