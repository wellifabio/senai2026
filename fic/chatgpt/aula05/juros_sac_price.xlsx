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orldskill\Desktop\senai2026\fic\chatgpt\aula05\"/>
    </mc:Choice>
  </mc:AlternateContent>
  <xr:revisionPtr revIDLastSave="0" documentId="13_ncr:1_{D64616E1-24E3-458F-B039-4FBDEF78810C}" xr6:coauthVersionLast="47" xr6:coauthVersionMax="47" xr10:uidLastSave="{00000000-0000-0000-0000-000000000000}"/>
  <bookViews>
    <workbookView xWindow="-108" yWindow="-108" windowWidth="23256" windowHeight="12456" xr2:uid="{536D4025-6550-4D85-B0EF-CCA3EE5E2E54}"/>
  </bookViews>
  <sheets>
    <sheet name="Juros_Compostos" sheetId="1" r:id="rId1"/>
    <sheet name="SAC_PRICE" sheetId="2" r:id="rId2"/>
    <sheet name="SAC_PRICE_SIMULACA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2" l="1"/>
  <c r="F2" i="2"/>
  <c r="I427" i="3"/>
  <c r="D22" i="2"/>
  <c r="H8" i="3"/>
  <c r="C16" i="2"/>
  <c r="C17" i="2"/>
  <c r="B21" i="2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B3" i="3"/>
  <c r="B2" i="2"/>
  <c r="C9" i="3"/>
  <c r="C16" i="3"/>
  <c r="C15" i="3"/>
  <c r="C14" i="3"/>
  <c r="C13" i="3"/>
  <c r="C12" i="3"/>
  <c r="C11" i="3"/>
  <c r="C10" i="3"/>
  <c r="B8" i="3"/>
  <c r="C9" i="2"/>
  <c r="C10" i="2"/>
  <c r="C11" i="2"/>
  <c r="C12" i="2"/>
  <c r="C13" i="2"/>
  <c r="C14" i="2"/>
  <c r="C15" i="2"/>
  <c r="C8" i="2"/>
  <c r="B7" i="2"/>
  <c r="B8" i="2" s="1"/>
  <c r="B8" i="1"/>
  <c r="B9" i="1" s="1"/>
  <c r="G5" i="1"/>
  <c r="H5" i="1" s="1"/>
  <c r="E6" i="1" s="1"/>
  <c r="B15" i="1"/>
  <c r="B16" i="1" s="1"/>
  <c r="G6" i="1" l="1"/>
  <c r="H6" i="1" s="1"/>
  <c r="E7" i="1" s="1"/>
  <c r="J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6" i="3"/>
  <c r="I428" i="3"/>
  <c r="I9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425" i="3"/>
  <c r="C23" i="2"/>
  <c r="C24" i="2"/>
  <c r="C25" i="2"/>
  <c r="C26" i="2"/>
  <c r="C27" i="2"/>
  <c r="C28" i="2"/>
  <c r="C29" i="2"/>
  <c r="C30" i="2"/>
  <c r="C31" i="2"/>
  <c r="C22" i="2"/>
  <c r="E22" i="2" s="1"/>
  <c r="B22" i="2" s="1"/>
  <c r="D23" i="2" s="1"/>
  <c r="E23" i="2" s="1"/>
  <c r="B23" i="2" s="1"/>
  <c r="D24" i="2" s="1"/>
  <c r="E24" i="2" s="1"/>
  <c r="B24" i="2" s="1"/>
  <c r="B9" i="2"/>
  <c r="B10" i="2" s="1"/>
  <c r="D11" i="2" s="1"/>
  <c r="D9" i="2"/>
  <c r="E9" i="2" s="1"/>
  <c r="D8" i="2"/>
  <c r="E8" i="2" s="1"/>
  <c r="D10" i="2"/>
  <c r="E10" i="2" s="1"/>
  <c r="D9" i="3"/>
  <c r="E9" i="3" s="1"/>
  <c r="B9" i="3"/>
  <c r="G7" i="1" l="1"/>
  <c r="H7" i="1"/>
  <c r="E8" i="1" s="1"/>
  <c r="G8" i="1" s="1"/>
  <c r="H8" i="1" s="1"/>
  <c r="E9" i="1" s="1"/>
  <c r="G9" i="1" s="1"/>
  <c r="H9" i="1" s="1"/>
  <c r="E10" i="1" s="1"/>
  <c r="G10" i="1" s="1"/>
  <c r="H10" i="1" s="1"/>
  <c r="E11" i="1" s="1"/>
  <c r="K9" i="3"/>
  <c r="H9" i="3" s="1"/>
  <c r="J10" i="3" s="1"/>
  <c r="K10" i="3" s="1"/>
  <c r="H10" i="3" s="1"/>
  <c r="D25" i="2"/>
  <c r="E25" i="2" s="1"/>
  <c r="B25" i="2" s="1"/>
  <c r="B10" i="3"/>
  <c r="D10" i="3"/>
  <c r="E10" i="3" s="1"/>
  <c r="E11" i="2"/>
  <c r="B11" i="2"/>
  <c r="D12" i="2" s="1"/>
  <c r="J11" i="3" l="1"/>
  <c r="K11" i="3" s="1"/>
  <c r="H11" i="3" s="1"/>
  <c r="D26" i="2"/>
  <c r="E26" i="2" s="1"/>
  <c r="B26" i="2" s="1"/>
  <c r="B11" i="3"/>
  <c r="D11" i="3"/>
  <c r="E11" i="3" s="1"/>
  <c r="E12" i="2"/>
  <c r="B12" i="2"/>
  <c r="D13" i="2" s="1"/>
  <c r="G11" i="1"/>
  <c r="H11" i="1"/>
  <c r="E12" i="1" s="1"/>
  <c r="G12" i="1" s="1"/>
  <c r="H12" i="1" s="1"/>
  <c r="E13" i="1" s="1"/>
  <c r="J12" i="3" l="1"/>
  <c r="K12" i="3" s="1"/>
  <c r="H12" i="3" s="1"/>
  <c r="D27" i="2"/>
  <c r="E27" i="2" s="1"/>
  <c r="B27" i="2" s="1"/>
  <c r="B12" i="3"/>
  <c r="D12" i="3"/>
  <c r="E12" i="3" s="1"/>
  <c r="E13" i="2"/>
  <c r="B13" i="2"/>
  <c r="D14" i="2" s="1"/>
  <c r="G13" i="1"/>
  <c r="H13" i="1" s="1"/>
  <c r="E14" i="1" s="1"/>
  <c r="J13" i="3" l="1"/>
  <c r="K13" i="3" s="1"/>
  <c r="H13" i="3" s="1"/>
  <c r="D28" i="2"/>
  <c r="E28" i="2" s="1"/>
  <c r="B28" i="2" s="1"/>
  <c r="B13" i="3"/>
  <c r="D13" i="3"/>
  <c r="E13" i="3" s="1"/>
  <c r="E14" i="2"/>
  <c r="B14" i="2"/>
  <c r="D15" i="2" s="1"/>
  <c r="G14" i="1"/>
  <c r="H14" i="1"/>
  <c r="E15" i="1" s="1"/>
  <c r="G15" i="1" l="1"/>
  <c r="H15" i="1" s="1"/>
  <c r="E16" i="1" s="1"/>
  <c r="G16" i="1" s="1"/>
  <c r="H16" i="1" s="1"/>
  <c r="J14" i="3"/>
  <c r="K14" i="3" s="1"/>
  <c r="H14" i="3" s="1"/>
  <c r="D29" i="2"/>
  <c r="E29" i="2" s="1"/>
  <c r="B29" i="2" s="1"/>
  <c r="B14" i="3"/>
  <c r="D14" i="3"/>
  <c r="E14" i="3" s="1"/>
  <c r="E15" i="2"/>
  <c r="B15" i="2"/>
  <c r="J15" i="3" l="1"/>
  <c r="K15" i="3" s="1"/>
  <c r="H15" i="3" s="1"/>
  <c r="D30" i="2"/>
  <c r="E30" i="2" s="1"/>
  <c r="B30" i="2" s="1"/>
  <c r="B16" i="2"/>
  <c r="D16" i="2"/>
  <c r="E16" i="2" s="1"/>
  <c r="B15" i="3"/>
  <c r="D15" i="3"/>
  <c r="E15" i="3" s="1"/>
  <c r="J16" i="3" l="1"/>
  <c r="K16" i="3" s="1"/>
  <c r="H16" i="3" s="1"/>
  <c r="D31" i="2"/>
  <c r="E31" i="2" s="1"/>
  <c r="B31" i="2" s="1"/>
  <c r="B17" i="2"/>
  <c r="D17" i="2"/>
  <c r="E17" i="2" s="1"/>
  <c r="B16" i="3"/>
  <c r="D16" i="3"/>
  <c r="E16" i="3" s="1"/>
  <c r="J17" i="3" l="1"/>
  <c r="K17" i="3" s="1"/>
  <c r="H17" i="3" s="1"/>
  <c r="B17" i="3"/>
  <c r="D17" i="3"/>
  <c r="E17" i="3" s="1"/>
  <c r="J18" i="3" l="1"/>
  <c r="K18" i="3" s="1"/>
  <c r="H18" i="3" s="1"/>
  <c r="B18" i="3"/>
  <c r="D18" i="3"/>
  <c r="E18" i="3" s="1"/>
  <c r="J19" i="3" l="1"/>
  <c r="K19" i="3" s="1"/>
  <c r="H19" i="3" s="1"/>
  <c r="B19" i="3"/>
  <c r="D19" i="3"/>
  <c r="E19" i="3" s="1"/>
  <c r="J20" i="3" l="1"/>
  <c r="K20" i="3" s="1"/>
  <c r="H20" i="3" s="1"/>
  <c r="B20" i="3"/>
  <c r="D20" i="3"/>
  <c r="E20" i="3" s="1"/>
  <c r="J21" i="3" l="1"/>
  <c r="K21" i="3" s="1"/>
  <c r="H21" i="3" s="1"/>
  <c r="B21" i="3"/>
  <c r="D21" i="3"/>
  <c r="E21" i="3" s="1"/>
  <c r="J22" i="3" l="1"/>
  <c r="K22" i="3" s="1"/>
  <c r="H22" i="3"/>
  <c r="B22" i="3"/>
  <c r="D22" i="3"/>
  <c r="E22" i="3" s="1"/>
  <c r="J23" i="3" l="1"/>
  <c r="K23" i="3" s="1"/>
  <c r="H23" i="3"/>
  <c r="B23" i="3"/>
  <c r="D23" i="3"/>
  <c r="E23" i="3" s="1"/>
  <c r="J24" i="3" l="1"/>
  <c r="K24" i="3" s="1"/>
  <c r="H24" i="3"/>
  <c r="B24" i="3"/>
  <c r="D24" i="3"/>
  <c r="E24" i="3" s="1"/>
  <c r="J25" i="3" l="1"/>
  <c r="K25" i="3" s="1"/>
  <c r="H25" i="3" s="1"/>
  <c r="B25" i="3"/>
  <c r="D25" i="3"/>
  <c r="E25" i="3" s="1"/>
  <c r="J26" i="3" l="1"/>
  <c r="K26" i="3" s="1"/>
  <c r="H26" i="3" s="1"/>
  <c r="B26" i="3"/>
  <c r="D26" i="3"/>
  <c r="E26" i="3" s="1"/>
  <c r="J27" i="3" l="1"/>
  <c r="K27" i="3" s="1"/>
  <c r="H27" i="3" s="1"/>
  <c r="B27" i="3"/>
  <c r="D27" i="3"/>
  <c r="E27" i="3" s="1"/>
  <c r="J28" i="3" l="1"/>
  <c r="K28" i="3" s="1"/>
  <c r="H28" i="3" s="1"/>
  <c r="B28" i="3"/>
  <c r="D28" i="3"/>
  <c r="E28" i="3" s="1"/>
  <c r="J29" i="3" l="1"/>
  <c r="K29" i="3" s="1"/>
  <c r="H29" i="3" s="1"/>
  <c r="D29" i="3"/>
  <c r="E29" i="3" s="1"/>
  <c r="B29" i="3"/>
  <c r="J30" i="3" l="1"/>
  <c r="K30" i="3" s="1"/>
  <c r="H30" i="3" s="1"/>
  <c r="B30" i="3"/>
  <c r="D30" i="3"/>
  <c r="E30" i="3" s="1"/>
  <c r="J31" i="3" l="1"/>
  <c r="K31" i="3" s="1"/>
  <c r="H31" i="3" s="1"/>
  <c r="B31" i="3"/>
  <c r="D31" i="3"/>
  <c r="E31" i="3" s="1"/>
  <c r="J32" i="3" l="1"/>
  <c r="K32" i="3" s="1"/>
  <c r="H32" i="3" s="1"/>
  <c r="B32" i="3"/>
  <c r="D32" i="3"/>
  <c r="E32" i="3" s="1"/>
  <c r="J33" i="3" l="1"/>
  <c r="K33" i="3" s="1"/>
  <c r="H33" i="3" s="1"/>
  <c r="D33" i="3"/>
  <c r="E33" i="3" s="1"/>
  <c r="B33" i="3"/>
  <c r="J34" i="3" l="1"/>
  <c r="K34" i="3" s="1"/>
  <c r="H34" i="3" s="1"/>
  <c r="D34" i="3"/>
  <c r="E34" i="3" s="1"/>
  <c r="B34" i="3"/>
  <c r="J35" i="3" l="1"/>
  <c r="K35" i="3" s="1"/>
  <c r="H35" i="3" s="1"/>
  <c r="D35" i="3"/>
  <c r="E35" i="3" s="1"/>
  <c r="B35" i="3"/>
  <c r="J36" i="3" l="1"/>
  <c r="K36" i="3" s="1"/>
  <c r="H36" i="3" s="1"/>
  <c r="D36" i="3"/>
  <c r="E36" i="3" s="1"/>
  <c r="B36" i="3"/>
  <c r="J37" i="3" l="1"/>
  <c r="K37" i="3" s="1"/>
  <c r="H37" i="3" s="1"/>
  <c r="B37" i="3"/>
  <c r="D37" i="3"/>
  <c r="E37" i="3" s="1"/>
  <c r="J38" i="3" l="1"/>
  <c r="K38" i="3" s="1"/>
  <c r="H38" i="3" s="1"/>
  <c r="B38" i="3"/>
  <c r="D38" i="3"/>
  <c r="E38" i="3" s="1"/>
  <c r="J39" i="3" l="1"/>
  <c r="K39" i="3" s="1"/>
  <c r="H39" i="3" s="1"/>
  <c r="B39" i="3"/>
  <c r="D39" i="3"/>
  <c r="E39" i="3" s="1"/>
  <c r="J40" i="3" l="1"/>
  <c r="K40" i="3" s="1"/>
  <c r="H40" i="3" s="1"/>
  <c r="D40" i="3"/>
  <c r="E40" i="3" s="1"/>
  <c r="B40" i="3"/>
  <c r="J41" i="3" l="1"/>
  <c r="K41" i="3" s="1"/>
  <c r="H41" i="3" s="1"/>
  <c r="D41" i="3"/>
  <c r="E41" i="3" s="1"/>
  <c r="B41" i="3"/>
  <c r="J42" i="3" l="1"/>
  <c r="K42" i="3" s="1"/>
  <c r="H42" i="3" s="1"/>
  <c r="B42" i="3"/>
  <c r="D42" i="3"/>
  <c r="E42" i="3" s="1"/>
  <c r="J43" i="3" l="1"/>
  <c r="K43" i="3" s="1"/>
  <c r="H43" i="3" s="1"/>
  <c r="B43" i="3"/>
  <c r="D43" i="3"/>
  <c r="E43" i="3" s="1"/>
  <c r="J44" i="3" l="1"/>
  <c r="K44" i="3" s="1"/>
  <c r="H44" i="3" s="1"/>
  <c r="B44" i="3"/>
  <c r="D44" i="3"/>
  <c r="E44" i="3" s="1"/>
  <c r="J45" i="3" l="1"/>
  <c r="K45" i="3" s="1"/>
  <c r="H45" i="3" s="1"/>
  <c r="B45" i="3"/>
  <c r="D45" i="3"/>
  <c r="E45" i="3" s="1"/>
  <c r="J46" i="3" l="1"/>
  <c r="K46" i="3" s="1"/>
  <c r="H46" i="3" s="1"/>
  <c r="B46" i="3"/>
  <c r="D46" i="3"/>
  <c r="E46" i="3" s="1"/>
  <c r="J47" i="3" l="1"/>
  <c r="K47" i="3" s="1"/>
  <c r="H47" i="3" s="1"/>
  <c r="B47" i="3"/>
  <c r="D47" i="3"/>
  <c r="E47" i="3" s="1"/>
  <c r="J48" i="3" l="1"/>
  <c r="K48" i="3" s="1"/>
  <c r="H48" i="3" s="1"/>
  <c r="B48" i="3"/>
  <c r="D48" i="3"/>
  <c r="E48" i="3" s="1"/>
  <c r="J49" i="3" l="1"/>
  <c r="K49" i="3" s="1"/>
  <c r="H49" i="3" s="1"/>
  <c r="B49" i="3"/>
  <c r="D49" i="3"/>
  <c r="E49" i="3" s="1"/>
  <c r="J50" i="3" l="1"/>
  <c r="K50" i="3" s="1"/>
  <c r="H50" i="3" s="1"/>
  <c r="B50" i="3"/>
  <c r="D50" i="3"/>
  <c r="E50" i="3" s="1"/>
  <c r="J51" i="3" l="1"/>
  <c r="K51" i="3" s="1"/>
  <c r="H51" i="3" s="1"/>
  <c r="B51" i="3"/>
  <c r="D51" i="3"/>
  <c r="E51" i="3" s="1"/>
  <c r="J52" i="3" l="1"/>
  <c r="K52" i="3" s="1"/>
  <c r="H52" i="3" s="1"/>
  <c r="B52" i="3"/>
  <c r="D52" i="3"/>
  <c r="E52" i="3" s="1"/>
  <c r="J53" i="3" l="1"/>
  <c r="K53" i="3" s="1"/>
  <c r="H53" i="3" s="1"/>
  <c r="B53" i="3"/>
  <c r="D53" i="3"/>
  <c r="E53" i="3" s="1"/>
  <c r="J54" i="3" l="1"/>
  <c r="K54" i="3" s="1"/>
  <c r="H54" i="3" s="1"/>
  <c r="D54" i="3"/>
  <c r="E54" i="3" s="1"/>
  <c r="B54" i="3"/>
  <c r="J55" i="3" l="1"/>
  <c r="K55" i="3" s="1"/>
  <c r="H55" i="3" s="1"/>
  <c r="B55" i="3"/>
  <c r="D55" i="3"/>
  <c r="E55" i="3" s="1"/>
  <c r="J56" i="3" l="1"/>
  <c r="K56" i="3" s="1"/>
  <c r="H56" i="3" s="1"/>
  <c r="B56" i="3"/>
  <c r="D56" i="3"/>
  <c r="E56" i="3" s="1"/>
  <c r="J57" i="3" l="1"/>
  <c r="K57" i="3" s="1"/>
  <c r="H57" i="3" s="1"/>
  <c r="D57" i="3"/>
  <c r="E57" i="3" s="1"/>
  <c r="B57" i="3"/>
  <c r="J58" i="3" l="1"/>
  <c r="K58" i="3" s="1"/>
  <c r="H58" i="3" s="1"/>
  <c r="D58" i="3"/>
  <c r="E58" i="3" s="1"/>
  <c r="B58" i="3"/>
  <c r="J59" i="3" l="1"/>
  <c r="K59" i="3" s="1"/>
  <c r="H59" i="3" s="1"/>
  <c r="D59" i="3"/>
  <c r="E59" i="3" s="1"/>
  <c r="B59" i="3"/>
  <c r="J60" i="3" l="1"/>
  <c r="K60" i="3" s="1"/>
  <c r="H60" i="3" s="1"/>
  <c r="D60" i="3"/>
  <c r="E60" i="3" s="1"/>
  <c r="B60" i="3"/>
  <c r="J61" i="3" l="1"/>
  <c r="K61" i="3" s="1"/>
  <c r="H61" i="3" s="1"/>
  <c r="B61" i="3"/>
  <c r="D61" i="3"/>
  <c r="E61" i="3" s="1"/>
  <c r="J62" i="3" l="1"/>
  <c r="K62" i="3" s="1"/>
  <c r="H62" i="3" s="1"/>
  <c r="B62" i="3"/>
  <c r="D62" i="3"/>
  <c r="E62" i="3" s="1"/>
  <c r="J63" i="3" l="1"/>
  <c r="K63" i="3" s="1"/>
  <c r="H63" i="3" s="1"/>
  <c r="B63" i="3"/>
  <c r="D63" i="3"/>
  <c r="E63" i="3" s="1"/>
  <c r="J64" i="3" l="1"/>
  <c r="K64" i="3" s="1"/>
  <c r="H64" i="3" s="1"/>
  <c r="B64" i="3"/>
  <c r="D64" i="3"/>
  <c r="E64" i="3" s="1"/>
  <c r="J65" i="3" l="1"/>
  <c r="K65" i="3" s="1"/>
  <c r="H65" i="3" s="1"/>
  <c r="B65" i="3"/>
  <c r="D65" i="3"/>
  <c r="E65" i="3" s="1"/>
  <c r="J66" i="3" l="1"/>
  <c r="K66" i="3" s="1"/>
  <c r="H66" i="3"/>
  <c r="D66" i="3"/>
  <c r="E66" i="3" s="1"/>
  <c r="B66" i="3"/>
  <c r="J67" i="3" l="1"/>
  <c r="K67" i="3" s="1"/>
  <c r="H67" i="3" s="1"/>
  <c r="B67" i="3"/>
  <c r="D67" i="3"/>
  <c r="E67" i="3" s="1"/>
  <c r="J68" i="3" l="1"/>
  <c r="K68" i="3" s="1"/>
  <c r="H68" i="3" s="1"/>
  <c r="B68" i="3"/>
  <c r="D68" i="3"/>
  <c r="E68" i="3" s="1"/>
  <c r="J69" i="3" l="1"/>
  <c r="K69" i="3" s="1"/>
  <c r="H69" i="3" s="1"/>
  <c r="B69" i="3"/>
  <c r="D69" i="3"/>
  <c r="E69" i="3" s="1"/>
  <c r="J70" i="3" l="1"/>
  <c r="K70" i="3" s="1"/>
  <c r="H70" i="3" s="1"/>
  <c r="B70" i="3"/>
  <c r="D70" i="3"/>
  <c r="E70" i="3" s="1"/>
  <c r="J71" i="3" l="1"/>
  <c r="K71" i="3" s="1"/>
  <c r="H71" i="3" s="1"/>
  <c r="B71" i="3"/>
  <c r="D71" i="3"/>
  <c r="E71" i="3" s="1"/>
  <c r="J72" i="3" l="1"/>
  <c r="K72" i="3" s="1"/>
  <c r="H72" i="3" s="1"/>
  <c r="B72" i="3"/>
  <c r="D72" i="3"/>
  <c r="E72" i="3" s="1"/>
  <c r="J73" i="3" l="1"/>
  <c r="K73" i="3" s="1"/>
  <c r="H73" i="3" s="1"/>
  <c r="B73" i="3"/>
  <c r="D73" i="3"/>
  <c r="E73" i="3" s="1"/>
  <c r="J74" i="3" l="1"/>
  <c r="K74" i="3" s="1"/>
  <c r="H74" i="3" s="1"/>
  <c r="B74" i="3"/>
  <c r="D74" i="3"/>
  <c r="E74" i="3" s="1"/>
  <c r="J75" i="3" l="1"/>
  <c r="K75" i="3" s="1"/>
  <c r="H75" i="3" s="1"/>
  <c r="B75" i="3"/>
  <c r="D75" i="3"/>
  <c r="E75" i="3" s="1"/>
  <c r="J76" i="3" l="1"/>
  <c r="K76" i="3" s="1"/>
  <c r="H76" i="3" s="1"/>
  <c r="B76" i="3"/>
  <c r="D76" i="3"/>
  <c r="E76" i="3" s="1"/>
  <c r="J77" i="3" l="1"/>
  <c r="K77" i="3" s="1"/>
  <c r="H77" i="3"/>
  <c r="B77" i="3"/>
  <c r="D77" i="3"/>
  <c r="E77" i="3" s="1"/>
  <c r="J78" i="3" l="1"/>
  <c r="K78" i="3" s="1"/>
  <c r="H78" i="3" s="1"/>
  <c r="B78" i="3"/>
  <c r="D78" i="3"/>
  <c r="E78" i="3" s="1"/>
  <c r="J79" i="3" l="1"/>
  <c r="K79" i="3" s="1"/>
  <c r="H79" i="3" s="1"/>
  <c r="B79" i="3"/>
  <c r="D79" i="3"/>
  <c r="E79" i="3" s="1"/>
  <c r="J80" i="3" l="1"/>
  <c r="K80" i="3" s="1"/>
  <c r="H80" i="3" s="1"/>
  <c r="B80" i="3"/>
  <c r="D80" i="3"/>
  <c r="E80" i="3" s="1"/>
  <c r="J81" i="3" l="1"/>
  <c r="K81" i="3" s="1"/>
  <c r="H81" i="3" s="1"/>
  <c r="B81" i="3"/>
  <c r="D81" i="3"/>
  <c r="E81" i="3" s="1"/>
  <c r="J82" i="3" l="1"/>
  <c r="K82" i="3" s="1"/>
  <c r="H82" i="3" s="1"/>
  <c r="B82" i="3"/>
  <c r="D82" i="3"/>
  <c r="E82" i="3" s="1"/>
  <c r="J83" i="3" l="1"/>
  <c r="K83" i="3" s="1"/>
  <c r="H83" i="3" s="1"/>
  <c r="B83" i="3"/>
  <c r="D83" i="3"/>
  <c r="E83" i="3" s="1"/>
  <c r="J84" i="3" l="1"/>
  <c r="K84" i="3" s="1"/>
  <c r="H84" i="3" s="1"/>
  <c r="B84" i="3"/>
  <c r="D84" i="3"/>
  <c r="E84" i="3" s="1"/>
  <c r="J85" i="3" l="1"/>
  <c r="K85" i="3" s="1"/>
  <c r="H85" i="3" s="1"/>
  <c r="B85" i="3"/>
  <c r="D85" i="3"/>
  <c r="E85" i="3" s="1"/>
  <c r="J86" i="3" l="1"/>
  <c r="K86" i="3" s="1"/>
  <c r="H86" i="3" s="1"/>
  <c r="B86" i="3"/>
  <c r="D86" i="3"/>
  <c r="E86" i="3" s="1"/>
  <c r="J87" i="3" l="1"/>
  <c r="K87" i="3" s="1"/>
  <c r="H87" i="3" s="1"/>
  <c r="B87" i="3"/>
  <c r="D87" i="3"/>
  <c r="E87" i="3" s="1"/>
  <c r="J88" i="3" l="1"/>
  <c r="K88" i="3" s="1"/>
  <c r="H88" i="3" s="1"/>
  <c r="B88" i="3"/>
  <c r="D88" i="3"/>
  <c r="E88" i="3" s="1"/>
  <c r="J89" i="3" l="1"/>
  <c r="K89" i="3" s="1"/>
  <c r="H89" i="3" s="1"/>
  <c r="B89" i="3"/>
  <c r="D89" i="3"/>
  <c r="E89" i="3" s="1"/>
  <c r="J90" i="3" l="1"/>
  <c r="K90" i="3" s="1"/>
  <c r="H90" i="3" s="1"/>
  <c r="B90" i="3"/>
  <c r="D90" i="3"/>
  <c r="E90" i="3" s="1"/>
  <c r="J91" i="3" l="1"/>
  <c r="K91" i="3" s="1"/>
  <c r="H91" i="3" s="1"/>
  <c r="B91" i="3"/>
  <c r="D91" i="3"/>
  <c r="E91" i="3" s="1"/>
  <c r="J92" i="3" l="1"/>
  <c r="K92" i="3" s="1"/>
  <c r="H92" i="3" s="1"/>
  <c r="D92" i="3"/>
  <c r="E92" i="3" s="1"/>
  <c r="B92" i="3"/>
  <c r="J93" i="3" l="1"/>
  <c r="K93" i="3" s="1"/>
  <c r="H93" i="3" s="1"/>
  <c r="B93" i="3"/>
  <c r="D93" i="3"/>
  <c r="E93" i="3" s="1"/>
  <c r="J94" i="3" l="1"/>
  <c r="K94" i="3" s="1"/>
  <c r="H94" i="3" s="1"/>
  <c r="B94" i="3"/>
  <c r="D94" i="3"/>
  <c r="E94" i="3" s="1"/>
  <c r="J95" i="3" l="1"/>
  <c r="K95" i="3" s="1"/>
  <c r="H95" i="3" s="1"/>
  <c r="B95" i="3"/>
  <c r="D95" i="3"/>
  <c r="E95" i="3" s="1"/>
  <c r="J96" i="3" l="1"/>
  <c r="K96" i="3" s="1"/>
  <c r="H96" i="3" s="1"/>
  <c r="B96" i="3"/>
  <c r="D96" i="3"/>
  <c r="E96" i="3" s="1"/>
  <c r="J97" i="3" l="1"/>
  <c r="K97" i="3" s="1"/>
  <c r="H97" i="3" s="1"/>
  <c r="B97" i="3"/>
  <c r="D97" i="3"/>
  <c r="E97" i="3" s="1"/>
  <c r="J98" i="3" l="1"/>
  <c r="K98" i="3" s="1"/>
  <c r="H98" i="3" s="1"/>
  <c r="B98" i="3"/>
  <c r="D98" i="3"/>
  <c r="E98" i="3" s="1"/>
  <c r="J99" i="3" l="1"/>
  <c r="K99" i="3" s="1"/>
  <c r="H99" i="3"/>
  <c r="B99" i="3"/>
  <c r="D99" i="3"/>
  <c r="E99" i="3" s="1"/>
  <c r="J100" i="3" l="1"/>
  <c r="K100" i="3" s="1"/>
  <c r="H100" i="3" s="1"/>
  <c r="B100" i="3"/>
  <c r="D100" i="3"/>
  <c r="E100" i="3" s="1"/>
  <c r="J101" i="3" l="1"/>
  <c r="K101" i="3" s="1"/>
  <c r="H101" i="3" s="1"/>
  <c r="B101" i="3"/>
  <c r="D101" i="3"/>
  <c r="E101" i="3" s="1"/>
  <c r="J102" i="3" l="1"/>
  <c r="K102" i="3" s="1"/>
  <c r="H102" i="3" s="1"/>
  <c r="B102" i="3"/>
  <c r="D102" i="3"/>
  <c r="E102" i="3" s="1"/>
  <c r="J103" i="3" l="1"/>
  <c r="K103" i="3" s="1"/>
  <c r="H103" i="3" s="1"/>
  <c r="B103" i="3"/>
  <c r="D103" i="3"/>
  <c r="E103" i="3" s="1"/>
  <c r="J104" i="3" l="1"/>
  <c r="K104" i="3" s="1"/>
  <c r="H104" i="3" s="1"/>
  <c r="B104" i="3"/>
  <c r="D104" i="3"/>
  <c r="E104" i="3" s="1"/>
  <c r="J105" i="3" l="1"/>
  <c r="K105" i="3" s="1"/>
  <c r="H105" i="3" s="1"/>
  <c r="B105" i="3"/>
  <c r="D105" i="3"/>
  <c r="E105" i="3" s="1"/>
  <c r="J106" i="3" l="1"/>
  <c r="K106" i="3" s="1"/>
  <c r="H106" i="3" s="1"/>
  <c r="D106" i="3"/>
  <c r="E106" i="3" s="1"/>
  <c r="B106" i="3"/>
  <c r="J107" i="3" l="1"/>
  <c r="K107" i="3" s="1"/>
  <c r="H107" i="3" s="1"/>
  <c r="D107" i="3"/>
  <c r="E107" i="3" s="1"/>
  <c r="B107" i="3"/>
  <c r="J108" i="3" l="1"/>
  <c r="K108" i="3" s="1"/>
  <c r="H108" i="3" s="1"/>
  <c r="B108" i="3"/>
  <c r="D108" i="3"/>
  <c r="E108" i="3" s="1"/>
  <c r="J109" i="3" l="1"/>
  <c r="K109" i="3" s="1"/>
  <c r="H109" i="3" s="1"/>
  <c r="B109" i="3"/>
  <c r="D109" i="3"/>
  <c r="E109" i="3" s="1"/>
  <c r="J110" i="3" l="1"/>
  <c r="K110" i="3" s="1"/>
  <c r="H110" i="3" s="1"/>
  <c r="B110" i="3"/>
  <c r="D110" i="3"/>
  <c r="E110" i="3" s="1"/>
  <c r="J111" i="3" l="1"/>
  <c r="K111" i="3" s="1"/>
  <c r="H111" i="3" s="1"/>
  <c r="B111" i="3"/>
  <c r="D111" i="3"/>
  <c r="E111" i="3" s="1"/>
  <c r="J112" i="3" l="1"/>
  <c r="K112" i="3" s="1"/>
  <c r="H112" i="3" s="1"/>
  <c r="B112" i="3"/>
  <c r="D112" i="3"/>
  <c r="E112" i="3" s="1"/>
  <c r="J113" i="3" l="1"/>
  <c r="K113" i="3" s="1"/>
  <c r="H113" i="3" s="1"/>
  <c r="B113" i="3"/>
  <c r="D113" i="3"/>
  <c r="E113" i="3" s="1"/>
  <c r="J114" i="3" l="1"/>
  <c r="K114" i="3" s="1"/>
  <c r="H114" i="3" s="1"/>
  <c r="B114" i="3"/>
  <c r="D114" i="3"/>
  <c r="E114" i="3" s="1"/>
  <c r="J115" i="3" l="1"/>
  <c r="K115" i="3" s="1"/>
  <c r="H115" i="3" s="1"/>
  <c r="D115" i="3"/>
  <c r="E115" i="3" s="1"/>
  <c r="B115" i="3"/>
  <c r="J116" i="3" l="1"/>
  <c r="K116" i="3" s="1"/>
  <c r="H116" i="3" s="1"/>
  <c r="B116" i="3"/>
  <c r="D116" i="3"/>
  <c r="E116" i="3" s="1"/>
  <c r="J117" i="3" l="1"/>
  <c r="K117" i="3" s="1"/>
  <c r="H117" i="3" s="1"/>
  <c r="B117" i="3"/>
  <c r="D117" i="3"/>
  <c r="E117" i="3" s="1"/>
  <c r="J118" i="3" l="1"/>
  <c r="K118" i="3" s="1"/>
  <c r="H118" i="3" s="1"/>
  <c r="B118" i="3"/>
  <c r="D118" i="3"/>
  <c r="E118" i="3" s="1"/>
  <c r="J119" i="3" l="1"/>
  <c r="K119" i="3" s="1"/>
  <c r="H119" i="3" s="1"/>
  <c r="B119" i="3"/>
  <c r="D119" i="3"/>
  <c r="E119" i="3" s="1"/>
  <c r="J120" i="3" l="1"/>
  <c r="K120" i="3" s="1"/>
  <c r="H120" i="3" s="1"/>
  <c r="B120" i="3"/>
  <c r="D120" i="3"/>
  <c r="E120" i="3" s="1"/>
  <c r="J121" i="3" l="1"/>
  <c r="K121" i="3" s="1"/>
  <c r="H121" i="3" s="1"/>
  <c r="B121" i="3"/>
  <c r="D121" i="3"/>
  <c r="E121" i="3" s="1"/>
  <c r="J122" i="3" l="1"/>
  <c r="K122" i="3" s="1"/>
  <c r="H122" i="3" s="1"/>
  <c r="B122" i="3"/>
  <c r="D122" i="3"/>
  <c r="E122" i="3" s="1"/>
  <c r="J123" i="3" l="1"/>
  <c r="K123" i="3" s="1"/>
  <c r="H123" i="3" s="1"/>
  <c r="B123" i="3"/>
  <c r="D123" i="3"/>
  <c r="E123" i="3" s="1"/>
  <c r="J124" i="3" l="1"/>
  <c r="K124" i="3" s="1"/>
  <c r="H124" i="3" s="1"/>
  <c r="B124" i="3"/>
  <c r="D124" i="3"/>
  <c r="E124" i="3" s="1"/>
  <c r="J125" i="3" l="1"/>
  <c r="K125" i="3" s="1"/>
  <c r="H125" i="3" s="1"/>
  <c r="B125" i="3"/>
  <c r="D125" i="3"/>
  <c r="E125" i="3" s="1"/>
  <c r="J126" i="3" l="1"/>
  <c r="K126" i="3" s="1"/>
  <c r="H126" i="3" s="1"/>
  <c r="B126" i="3"/>
  <c r="D126" i="3"/>
  <c r="E126" i="3" s="1"/>
  <c r="J127" i="3" l="1"/>
  <c r="K127" i="3" s="1"/>
  <c r="H127" i="3" s="1"/>
  <c r="B127" i="3"/>
  <c r="D127" i="3"/>
  <c r="E127" i="3" s="1"/>
  <c r="J128" i="3" l="1"/>
  <c r="K128" i="3" s="1"/>
  <c r="H128" i="3" s="1"/>
  <c r="B128" i="3"/>
  <c r="D128" i="3"/>
  <c r="E128" i="3" s="1"/>
  <c r="J129" i="3" l="1"/>
  <c r="K129" i="3" s="1"/>
  <c r="H129" i="3" s="1"/>
  <c r="B129" i="3"/>
  <c r="D129" i="3"/>
  <c r="E129" i="3" s="1"/>
  <c r="J130" i="3" l="1"/>
  <c r="K130" i="3" s="1"/>
  <c r="H130" i="3" s="1"/>
  <c r="B130" i="3"/>
  <c r="D130" i="3"/>
  <c r="E130" i="3" s="1"/>
  <c r="J131" i="3" l="1"/>
  <c r="K131" i="3" s="1"/>
  <c r="H131" i="3" s="1"/>
  <c r="B131" i="3"/>
  <c r="D131" i="3"/>
  <c r="E131" i="3" s="1"/>
  <c r="J132" i="3" l="1"/>
  <c r="K132" i="3" s="1"/>
  <c r="H132" i="3" s="1"/>
  <c r="B132" i="3"/>
  <c r="D132" i="3"/>
  <c r="E132" i="3" s="1"/>
  <c r="J133" i="3" l="1"/>
  <c r="K133" i="3" s="1"/>
  <c r="H133" i="3" s="1"/>
  <c r="B133" i="3"/>
  <c r="D133" i="3"/>
  <c r="E133" i="3" s="1"/>
  <c r="J134" i="3" l="1"/>
  <c r="K134" i="3" s="1"/>
  <c r="H134" i="3" s="1"/>
  <c r="B134" i="3"/>
  <c r="D134" i="3"/>
  <c r="E134" i="3" s="1"/>
  <c r="J135" i="3" l="1"/>
  <c r="K135" i="3" s="1"/>
  <c r="H135" i="3"/>
  <c r="B135" i="3"/>
  <c r="D135" i="3"/>
  <c r="E135" i="3" s="1"/>
  <c r="J136" i="3" l="1"/>
  <c r="K136" i="3" s="1"/>
  <c r="H136" i="3" s="1"/>
  <c r="B136" i="3"/>
  <c r="D136" i="3"/>
  <c r="E136" i="3" s="1"/>
  <c r="J137" i="3" l="1"/>
  <c r="K137" i="3" s="1"/>
  <c r="H137" i="3" s="1"/>
  <c r="B137" i="3"/>
  <c r="D137" i="3"/>
  <c r="E137" i="3" s="1"/>
  <c r="J138" i="3" l="1"/>
  <c r="K138" i="3" s="1"/>
  <c r="H138" i="3" s="1"/>
  <c r="B138" i="3"/>
  <c r="D138" i="3"/>
  <c r="E138" i="3" s="1"/>
  <c r="J139" i="3" l="1"/>
  <c r="K139" i="3" s="1"/>
  <c r="H139" i="3" s="1"/>
  <c r="B139" i="3"/>
  <c r="D139" i="3"/>
  <c r="E139" i="3" s="1"/>
  <c r="J140" i="3" l="1"/>
  <c r="K140" i="3" s="1"/>
  <c r="H140" i="3" s="1"/>
  <c r="B140" i="3"/>
  <c r="D140" i="3"/>
  <c r="E140" i="3" s="1"/>
  <c r="J141" i="3" l="1"/>
  <c r="K141" i="3" s="1"/>
  <c r="H141" i="3" s="1"/>
  <c r="B141" i="3"/>
  <c r="D141" i="3"/>
  <c r="E141" i="3" s="1"/>
  <c r="J142" i="3" l="1"/>
  <c r="K142" i="3" s="1"/>
  <c r="H142" i="3" s="1"/>
  <c r="B142" i="3"/>
  <c r="D142" i="3"/>
  <c r="E142" i="3" s="1"/>
  <c r="J143" i="3" l="1"/>
  <c r="K143" i="3" s="1"/>
  <c r="H143" i="3" s="1"/>
  <c r="B143" i="3"/>
  <c r="D143" i="3"/>
  <c r="E143" i="3" s="1"/>
  <c r="J144" i="3" l="1"/>
  <c r="K144" i="3" s="1"/>
  <c r="H144" i="3" s="1"/>
  <c r="B144" i="3"/>
  <c r="D144" i="3"/>
  <c r="E144" i="3" s="1"/>
  <c r="J145" i="3" l="1"/>
  <c r="K145" i="3" s="1"/>
  <c r="H145" i="3" s="1"/>
  <c r="B145" i="3"/>
  <c r="D145" i="3"/>
  <c r="E145" i="3" s="1"/>
  <c r="J146" i="3" l="1"/>
  <c r="K146" i="3" s="1"/>
  <c r="H146" i="3" s="1"/>
  <c r="B146" i="3"/>
  <c r="D146" i="3"/>
  <c r="E146" i="3" s="1"/>
  <c r="J147" i="3" l="1"/>
  <c r="K147" i="3" s="1"/>
  <c r="H147" i="3" s="1"/>
  <c r="B147" i="3"/>
  <c r="D147" i="3"/>
  <c r="E147" i="3" s="1"/>
  <c r="J148" i="3" l="1"/>
  <c r="K148" i="3" s="1"/>
  <c r="H148" i="3" s="1"/>
  <c r="B148" i="3"/>
  <c r="D148" i="3"/>
  <c r="E148" i="3" s="1"/>
  <c r="J149" i="3" l="1"/>
  <c r="K149" i="3" s="1"/>
  <c r="H149" i="3" s="1"/>
  <c r="B149" i="3"/>
  <c r="D149" i="3"/>
  <c r="E149" i="3" s="1"/>
  <c r="J150" i="3" l="1"/>
  <c r="K150" i="3" s="1"/>
  <c r="H150" i="3" s="1"/>
  <c r="B150" i="3"/>
  <c r="D150" i="3"/>
  <c r="E150" i="3" s="1"/>
  <c r="J151" i="3" l="1"/>
  <c r="K151" i="3" s="1"/>
  <c r="H151" i="3" s="1"/>
  <c r="B151" i="3"/>
  <c r="D151" i="3"/>
  <c r="E151" i="3" s="1"/>
  <c r="J152" i="3" l="1"/>
  <c r="K152" i="3" s="1"/>
  <c r="H152" i="3" s="1"/>
  <c r="B152" i="3"/>
  <c r="D152" i="3"/>
  <c r="E152" i="3" s="1"/>
  <c r="J153" i="3" l="1"/>
  <c r="K153" i="3" s="1"/>
  <c r="H153" i="3" s="1"/>
  <c r="B153" i="3"/>
  <c r="D153" i="3"/>
  <c r="E153" i="3" s="1"/>
  <c r="J154" i="3" l="1"/>
  <c r="K154" i="3" s="1"/>
  <c r="H154" i="3" s="1"/>
  <c r="B154" i="3"/>
  <c r="D154" i="3"/>
  <c r="E154" i="3" s="1"/>
  <c r="J155" i="3" l="1"/>
  <c r="K155" i="3" s="1"/>
  <c r="H155" i="3" s="1"/>
  <c r="B155" i="3"/>
  <c r="D155" i="3"/>
  <c r="E155" i="3" s="1"/>
  <c r="J156" i="3" l="1"/>
  <c r="K156" i="3" s="1"/>
  <c r="H156" i="3" s="1"/>
  <c r="B156" i="3"/>
  <c r="D156" i="3"/>
  <c r="E156" i="3" s="1"/>
  <c r="J157" i="3" l="1"/>
  <c r="K157" i="3" s="1"/>
  <c r="H157" i="3" s="1"/>
  <c r="B157" i="3"/>
  <c r="D157" i="3"/>
  <c r="E157" i="3" s="1"/>
  <c r="J158" i="3" l="1"/>
  <c r="K158" i="3" s="1"/>
  <c r="H158" i="3" s="1"/>
  <c r="B158" i="3"/>
  <c r="D158" i="3"/>
  <c r="E158" i="3" s="1"/>
  <c r="J159" i="3" l="1"/>
  <c r="K159" i="3" s="1"/>
  <c r="H159" i="3" s="1"/>
  <c r="B159" i="3"/>
  <c r="D159" i="3"/>
  <c r="E159" i="3" s="1"/>
  <c r="J160" i="3" l="1"/>
  <c r="K160" i="3" s="1"/>
  <c r="H160" i="3" s="1"/>
  <c r="B160" i="3"/>
  <c r="D160" i="3"/>
  <c r="E160" i="3" s="1"/>
  <c r="J161" i="3" l="1"/>
  <c r="K161" i="3" s="1"/>
  <c r="H161" i="3"/>
  <c r="B161" i="3"/>
  <c r="D161" i="3"/>
  <c r="E161" i="3" s="1"/>
  <c r="J162" i="3" l="1"/>
  <c r="K162" i="3" s="1"/>
  <c r="H162" i="3" s="1"/>
  <c r="B162" i="3"/>
  <c r="D162" i="3"/>
  <c r="E162" i="3" s="1"/>
  <c r="J163" i="3" l="1"/>
  <c r="K163" i="3" s="1"/>
  <c r="H163" i="3"/>
  <c r="B163" i="3"/>
  <c r="D163" i="3"/>
  <c r="E163" i="3" s="1"/>
  <c r="J164" i="3" l="1"/>
  <c r="K164" i="3" s="1"/>
  <c r="H164" i="3" s="1"/>
  <c r="B164" i="3"/>
  <c r="D164" i="3"/>
  <c r="E164" i="3" s="1"/>
  <c r="J165" i="3" l="1"/>
  <c r="K165" i="3" s="1"/>
  <c r="H165" i="3" s="1"/>
  <c r="B165" i="3"/>
  <c r="D165" i="3"/>
  <c r="E165" i="3" s="1"/>
  <c r="J166" i="3" l="1"/>
  <c r="K166" i="3" s="1"/>
  <c r="H166" i="3" s="1"/>
  <c r="B166" i="3"/>
  <c r="D166" i="3"/>
  <c r="E166" i="3" s="1"/>
  <c r="J167" i="3" l="1"/>
  <c r="K167" i="3" s="1"/>
  <c r="H167" i="3" s="1"/>
  <c r="B167" i="3"/>
  <c r="D167" i="3"/>
  <c r="E167" i="3" s="1"/>
  <c r="J168" i="3" l="1"/>
  <c r="K168" i="3" s="1"/>
  <c r="H168" i="3" s="1"/>
  <c r="B168" i="3"/>
  <c r="D168" i="3"/>
  <c r="E168" i="3" s="1"/>
  <c r="J169" i="3" l="1"/>
  <c r="K169" i="3" s="1"/>
  <c r="H169" i="3" s="1"/>
  <c r="B169" i="3"/>
  <c r="D169" i="3"/>
  <c r="E169" i="3" s="1"/>
  <c r="J170" i="3" l="1"/>
  <c r="K170" i="3" s="1"/>
  <c r="H170" i="3" s="1"/>
  <c r="B170" i="3"/>
  <c r="D170" i="3"/>
  <c r="E170" i="3" s="1"/>
  <c r="J171" i="3" l="1"/>
  <c r="K171" i="3" s="1"/>
  <c r="H171" i="3" s="1"/>
  <c r="B171" i="3"/>
  <c r="D171" i="3"/>
  <c r="E171" i="3" s="1"/>
  <c r="J172" i="3" l="1"/>
  <c r="K172" i="3" s="1"/>
  <c r="H172" i="3" s="1"/>
  <c r="B172" i="3"/>
  <c r="D172" i="3"/>
  <c r="E172" i="3" s="1"/>
  <c r="J173" i="3" l="1"/>
  <c r="K173" i="3" s="1"/>
  <c r="H173" i="3" s="1"/>
  <c r="B173" i="3"/>
  <c r="D173" i="3"/>
  <c r="E173" i="3" s="1"/>
  <c r="J174" i="3" l="1"/>
  <c r="K174" i="3" s="1"/>
  <c r="H174" i="3"/>
  <c r="B174" i="3"/>
  <c r="D174" i="3"/>
  <c r="E174" i="3" s="1"/>
  <c r="J175" i="3" l="1"/>
  <c r="K175" i="3" s="1"/>
  <c r="H175" i="3"/>
  <c r="B175" i="3"/>
  <c r="D175" i="3"/>
  <c r="E175" i="3" s="1"/>
  <c r="J176" i="3" l="1"/>
  <c r="K176" i="3" s="1"/>
  <c r="H176" i="3" s="1"/>
  <c r="B176" i="3"/>
  <c r="D176" i="3"/>
  <c r="E176" i="3" s="1"/>
  <c r="J177" i="3" l="1"/>
  <c r="K177" i="3" s="1"/>
  <c r="H177" i="3"/>
  <c r="B177" i="3"/>
  <c r="D177" i="3"/>
  <c r="E177" i="3" s="1"/>
  <c r="J178" i="3" l="1"/>
  <c r="K178" i="3" s="1"/>
  <c r="H178" i="3" s="1"/>
  <c r="B178" i="3"/>
  <c r="D178" i="3"/>
  <c r="E178" i="3" s="1"/>
  <c r="J179" i="3" l="1"/>
  <c r="K179" i="3" s="1"/>
  <c r="H179" i="3"/>
  <c r="B179" i="3"/>
  <c r="D179" i="3"/>
  <c r="E179" i="3" s="1"/>
  <c r="J180" i="3" l="1"/>
  <c r="K180" i="3" s="1"/>
  <c r="H180" i="3" s="1"/>
  <c r="B180" i="3"/>
  <c r="D180" i="3"/>
  <c r="E180" i="3" s="1"/>
  <c r="J181" i="3" l="1"/>
  <c r="K181" i="3" s="1"/>
  <c r="H181" i="3"/>
  <c r="B181" i="3"/>
  <c r="D181" i="3"/>
  <c r="E181" i="3" s="1"/>
  <c r="J182" i="3" l="1"/>
  <c r="K182" i="3" s="1"/>
  <c r="H182" i="3" s="1"/>
  <c r="B182" i="3"/>
  <c r="D182" i="3"/>
  <c r="E182" i="3" s="1"/>
  <c r="J183" i="3" l="1"/>
  <c r="K183" i="3" s="1"/>
  <c r="H183" i="3"/>
  <c r="B183" i="3"/>
  <c r="D183" i="3"/>
  <c r="E183" i="3" s="1"/>
  <c r="J184" i="3" l="1"/>
  <c r="K184" i="3" s="1"/>
  <c r="H184" i="3" s="1"/>
  <c r="B184" i="3"/>
  <c r="D184" i="3"/>
  <c r="E184" i="3" s="1"/>
  <c r="J185" i="3" l="1"/>
  <c r="K185" i="3" s="1"/>
  <c r="H185" i="3" s="1"/>
  <c r="B185" i="3"/>
  <c r="D185" i="3"/>
  <c r="E185" i="3" s="1"/>
  <c r="J186" i="3" l="1"/>
  <c r="K186" i="3" s="1"/>
  <c r="H186" i="3" s="1"/>
  <c r="B186" i="3"/>
  <c r="D186" i="3"/>
  <c r="E186" i="3" s="1"/>
  <c r="J187" i="3" l="1"/>
  <c r="K187" i="3" s="1"/>
  <c r="H187" i="3" s="1"/>
  <c r="B187" i="3"/>
  <c r="D187" i="3"/>
  <c r="E187" i="3" s="1"/>
  <c r="J188" i="3" l="1"/>
  <c r="K188" i="3" s="1"/>
  <c r="H188" i="3" s="1"/>
  <c r="B188" i="3"/>
  <c r="D188" i="3"/>
  <c r="E188" i="3" s="1"/>
  <c r="J189" i="3" l="1"/>
  <c r="K189" i="3" s="1"/>
  <c r="H189" i="3" s="1"/>
  <c r="B189" i="3"/>
  <c r="D189" i="3"/>
  <c r="E189" i="3" s="1"/>
  <c r="J190" i="3" l="1"/>
  <c r="K190" i="3" s="1"/>
  <c r="H190" i="3" s="1"/>
  <c r="B190" i="3"/>
  <c r="D190" i="3"/>
  <c r="E190" i="3" s="1"/>
  <c r="J191" i="3" l="1"/>
  <c r="K191" i="3" s="1"/>
  <c r="H191" i="3" s="1"/>
  <c r="B191" i="3"/>
  <c r="D191" i="3"/>
  <c r="E191" i="3" s="1"/>
  <c r="J192" i="3" l="1"/>
  <c r="K192" i="3" s="1"/>
  <c r="H192" i="3" s="1"/>
  <c r="B192" i="3"/>
  <c r="D192" i="3"/>
  <c r="E192" i="3" s="1"/>
  <c r="J193" i="3" l="1"/>
  <c r="K193" i="3" s="1"/>
  <c r="H193" i="3" s="1"/>
  <c r="D193" i="3"/>
  <c r="E193" i="3" s="1"/>
  <c r="B193" i="3"/>
  <c r="J194" i="3" l="1"/>
  <c r="K194" i="3" s="1"/>
  <c r="H194" i="3" s="1"/>
  <c r="D194" i="3"/>
  <c r="E194" i="3" s="1"/>
  <c r="B194" i="3"/>
  <c r="J195" i="3" l="1"/>
  <c r="K195" i="3" s="1"/>
  <c r="H195" i="3" s="1"/>
  <c r="B195" i="3"/>
  <c r="D195" i="3"/>
  <c r="E195" i="3" s="1"/>
  <c r="J196" i="3" l="1"/>
  <c r="K196" i="3" s="1"/>
  <c r="H196" i="3" s="1"/>
  <c r="B196" i="3"/>
  <c r="D196" i="3"/>
  <c r="E196" i="3" s="1"/>
  <c r="J197" i="3" l="1"/>
  <c r="K197" i="3" s="1"/>
  <c r="H197" i="3" s="1"/>
  <c r="B197" i="3"/>
  <c r="D197" i="3"/>
  <c r="E197" i="3" s="1"/>
  <c r="J198" i="3" l="1"/>
  <c r="K198" i="3" s="1"/>
  <c r="H198" i="3" s="1"/>
  <c r="B198" i="3"/>
  <c r="D198" i="3"/>
  <c r="E198" i="3" s="1"/>
  <c r="J199" i="3" l="1"/>
  <c r="K199" i="3" s="1"/>
  <c r="H199" i="3" s="1"/>
  <c r="B199" i="3"/>
  <c r="D199" i="3"/>
  <c r="E199" i="3" s="1"/>
  <c r="J200" i="3" l="1"/>
  <c r="K200" i="3" s="1"/>
  <c r="H200" i="3" s="1"/>
  <c r="B200" i="3"/>
  <c r="D200" i="3"/>
  <c r="E200" i="3" s="1"/>
  <c r="J201" i="3" l="1"/>
  <c r="K201" i="3" s="1"/>
  <c r="H201" i="3" s="1"/>
  <c r="B201" i="3"/>
  <c r="D201" i="3"/>
  <c r="E201" i="3" s="1"/>
  <c r="J202" i="3" l="1"/>
  <c r="K202" i="3" s="1"/>
  <c r="H202" i="3" s="1"/>
  <c r="D202" i="3"/>
  <c r="E202" i="3" s="1"/>
  <c r="B202" i="3"/>
  <c r="J203" i="3" l="1"/>
  <c r="K203" i="3" s="1"/>
  <c r="H203" i="3" s="1"/>
  <c r="B203" i="3"/>
  <c r="D203" i="3"/>
  <c r="E203" i="3" s="1"/>
  <c r="J204" i="3" l="1"/>
  <c r="K204" i="3" s="1"/>
  <c r="H204" i="3" s="1"/>
  <c r="B204" i="3"/>
  <c r="D204" i="3"/>
  <c r="E204" i="3" s="1"/>
  <c r="J205" i="3" l="1"/>
  <c r="K205" i="3" s="1"/>
  <c r="H205" i="3" s="1"/>
  <c r="B205" i="3"/>
  <c r="D205" i="3"/>
  <c r="E205" i="3" s="1"/>
  <c r="J206" i="3" l="1"/>
  <c r="K206" i="3" s="1"/>
  <c r="H206" i="3" s="1"/>
  <c r="D206" i="3"/>
  <c r="E206" i="3" s="1"/>
  <c r="B206" i="3"/>
  <c r="J207" i="3" l="1"/>
  <c r="K207" i="3" s="1"/>
  <c r="H207" i="3" s="1"/>
  <c r="D207" i="3"/>
  <c r="E207" i="3" s="1"/>
  <c r="B207" i="3"/>
  <c r="J208" i="3" l="1"/>
  <c r="K208" i="3" s="1"/>
  <c r="H208" i="3" s="1"/>
  <c r="B208" i="3"/>
  <c r="D208" i="3"/>
  <c r="E208" i="3" s="1"/>
  <c r="J209" i="3" l="1"/>
  <c r="K209" i="3" s="1"/>
  <c r="H209" i="3" s="1"/>
  <c r="D209" i="3"/>
  <c r="E209" i="3" s="1"/>
  <c r="B209" i="3"/>
  <c r="J210" i="3" l="1"/>
  <c r="K210" i="3" s="1"/>
  <c r="H210" i="3" s="1"/>
  <c r="D210" i="3"/>
  <c r="E210" i="3" s="1"/>
  <c r="B210" i="3"/>
  <c r="J211" i="3" l="1"/>
  <c r="K211" i="3" s="1"/>
  <c r="H211" i="3" s="1"/>
  <c r="D211" i="3"/>
  <c r="E211" i="3" s="1"/>
  <c r="B211" i="3"/>
  <c r="J212" i="3" l="1"/>
  <c r="K212" i="3" s="1"/>
  <c r="H212" i="3"/>
  <c r="D212" i="3"/>
  <c r="E212" i="3" s="1"/>
  <c r="B212" i="3"/>
  <c r="J213" i="3" l="1"/>
  <c r="K213" i="3" s="1"/>
  <c r="H213" i="3" s="1"/>
  <c r="B213" i="3"/>
  <c r="D213" i="3"/>
  <c r="E213" i="3" s="1"/>
  <c r="J214" i="3" l="1"/>
  <c r="K214" i="3" s="1"/>
  <c r="H214" i="3" s="1"/>
  <c r="D214" i="3"/>
  <c r="E214" i="3" s="1"/>
  <c r="B214" i="3"/>
  <c r="J215" i="3" l="1"/>
  <c r="K215" i="3" s="1"/>
  <c r="H215" i="3" s="1"/>
  <c r="B215" i="3"/>
  <c r="D215" i="3"/>
  <c r="E215" i="3" s="1"/>
  <c r="J216" i="3" l="1"/>
  <c r="K216" i="3" s="1"/>
  <c r="H216" i="3" s="1"/>
  <c r="D216" i="3"/>
  <c r="E216" i="3" s="1"/>
  <c r="B216" i="3"/>
  <c r="J217" i="3" l="1"/>
  <c r="K217" i="3" s="1"/>
  <c r="H217" i="3" s="1"/>
  <c r="B217" i="3"/>
  <c r="D217" i="3"/>
  <c r="E217" i="3" s="1"/>
  <c r="J218" i="3" l="1"/>
  <c r="K218" i="3" s="1"/>
  <c r="H218" i="3" s="1"/>
  <c r="B218" i="3"/>
  <c r="D218" i="3"/>
  <c r="E218" i="3" s="1"/>
  <c r="J219" i="3" l="1"/>
  <c r="K219" i="3" s="1"/>
  <c r="H219" i="3" s="1"/>
  <c r="B219" i="3"/>
  <c r="D219" i="3"/>
  <c r="E219" i="3" s="1"/>
  <c r="J220" i="3" l="1"/>
  <c r="K220" i="3" s="1"/>
  <c r="H220" i="3" s="1"/>
  <c r="B220" i="3"/>
  <c r="D220" i="3"/>
  <c r="E220" i="3" s="1"/>
  <c r="J221" i="3" l="1"/>
  <c r="K221" i="3" s="1"/>
  <c r="H221" i="3" s="1"/>
  <c r="B221" i="3"/>
  <c r="D221" i="3"/>
  <c r="E221" i="3" s="1"/>
  <c r="J222" i="3" l="1"/>
  <c r="K222" i="3" s="1"/>
  <c r="H222" i="3" s="1"/>
  <c r="B222" i="3"/>
  <c r="D222" i="3"/>
  <c r="E222" i="3" s="1"/>
  <c r="J223" i="3" l="1"/>
  <c r="K223" i="3" s="1"/>
  <c r="H223" i="3" s="1"/>
  <c r="D223" i="3"/>
  <c r="E223" i="3" s="1"/>
  <c r="B223" i="3"/>
  <c r="J224" i="3" l="1"/>
  <c r="K224" i="3" s="1"/>
  <c r="H224" i="3" s="1"/>
  <c r="B224" i="3"/>
  <c r="D224" i="3"/>
  <c r="E224" i="3" s="1"/>
  <c r="J225" i="3" l="1"/>
  <c r="K225" i="3" s="1"/>
  <c r="H225" i="3" s="1"/>
  <c r="B225" i="3"/>
  <c r="D225" i="3"/>
  <c r="E225" i="3" s="1"/>
  <c r="J226" i="3" l="1"/>
  <c r="K226" i="3" s="1"/>
  <c r="H226" i="3" s="1"/>
  <c r="D226" i="3"/>
  <c r="E226" i="3" s="1"/>
  <c r="B226" i="3"/>
  <c r="J227" i="3" l="1"/>
  <c r="K227" i="3" s="1"/>
  <c r="H227" i="3" s="1"/>
  <c r="D227" i="3"/>
  <c r="E227" i="3" s="1"/>
  <c r="B227" i="3"/>
  <c r="J228" i="3" l="1"/>
  <c r="K228" i="3" s="1"/>
  <c r="H228" i="3" s="1"/>
  <c r="B228" i="3"/>
  <c r="D228" i="3"/>
  <c r="E228" i="3" s="1"/>
  <c r="J229" i="3" l="1"/>
  <c r="K229" i="3" s="1"/>
  <c r="H229" i="3" s="1"/>
  <c r="B229" i="3"/>
  <c r="D229" i="3"/>
  <c r="E229" i="3" s="1"/>
  <c r="J230" i="3" l="1"/>
  <c r="K230" i="3" s="1"/>
  <c r="H230" i="3" s="1"/>
  <c r="D230" i="3"/>
  <c r="E230" i="3" s="1"/>
  <c r="B230" i="3"/>
  <c r="J231" i="3" l="1"/>
  <c r="K231" i="3" s="1"/>
  <c r="H231" i="3" s="1"/>
  <c r="D231" i="3"/>
  <c r="E231" i="3" s="1"/>
  <c r="B231" i="3"/>
  <c r="J232" i="3" l="1"/>
  <c r="K232" i="3" s="1"/>
  <c r="H232" i="3" s="1"/>
  <c r="B232" i="3"/>
  <c r="D232" i="3"/>
  <c r="E232" i="3" s="1"/>
  <c r="J233" i="3" l="1"/>
  <c r="K233" i="3" s="1"/>
  <c r="H233" i="3" s="1"/>
  <c r="D233" i="3"/>
  <c r="E233" i="3" s="1"/>
  <c r="B233" i="3"/>
  <c r="J234" i="3" l="1"/>
  <c r="K234" i="3" s="1"/>
  <c r="H234" i="3" s="1"/>
  <c r="D234" i="3"/>
  <c r="E234" i="3" s="1"/>
  <c r="B234" i="3"/>
  <c r="J235" i="3" l="1"/>
  <c r="K235" i="3" s="1"/>
  <c r="H235" i="3" s="1"/>
  <c r="B235" i="3"/>
  <c r="D235" i="3"/>
  <c r="E235" i="3" s="1"/>
  <c r="J236" i="3" l="1"/>
  <c r="K236" i="3" s="1"/>
  <c r="H236" i="3" s="1"/>
  <c r="B236" i="3"/>
  <c r="D236" i="3"/>
  <c r="E236" i="3" s="1"/>
  <c r="J237" i="3" l="1"/>
  <c r="K237" i="3" s="1"/>
  <c r="H237" i="3" s="1"/>
  <c r="D237" i="3"/>
  <c r="E237" i="3" s="1"/>
  <c r="B237" i="3"/>
  <c r="J238" i="3" l="1"/>
  <c r="K238" i="3" s="1"/>
  <c r="H238" i="3" s="1"/>
  <c r="B238" i="3"/>
  <c r="D238" i="3"/>
  <c r="E238" i="3" s="1"/>
  <c r="J239" i="3" l="1"/>
  <c r="K239" i="3" s="1"/>
  <c r="H239" i="3" s="1"/>
  <c r="B239" i="3"/>
  <c r="D239" i="3"/>
  <c r="E239" i="3" s="1"/>
  <c r="J240" i="3" l="1"/>
  <c r="K240" i="3" s="1"/>
  <c r="H240" i="3" s="1"/>
  <c r="B240" i="3"/>
  <c r="D240" i="3"/>
  <c r="E240" i="3" s="1"/>
  <c r="J241" i="3" l="1"/>
  <c r="K241" i="3" s="1"/>
  <c r="H241" i="3" s="1"/>
  <c r="B241" i="3"/>
  <c r="D241" i="3"/>
  <c r="E241" i="3" s="1"/>
  <c r="J242" i="3" l="1"/>
  <c r="K242" i="3" s="1"/>
  <c r="H242" i="3" s="1"/>
  <c r="B242" i="3"/>
  <c r="D242" i="3"/>
  <c r="E242" i="3" s="1"/>
  <c r="J243" i="3" l="1"/>
  <c r="K243" i="3" s="1"/>
  <c r="H243" i="3" s="1"/>
  <c r="B243" i="3"/>
  <c r="D243" i="3"/>
  <c r="E243" i="3" s="1"/>
  <c r="J244" i="3" l="1"/>
  <c r="K244" i="3" s="1"/>
  <c r="H244" i="3" s="1"/>
  <c r="B244" i="3"/>
  <c r="D244" i="3"/>
  <c r="E244" i="3" s="1"/>
  <c r="J245" i="3" l="1"/>
  <c r="K245" i="3" s="1"/>
  <c r="H245" i="3" s="1"/>
  <c r="B245" i="3"/>
  <c r="D245" i="3"/>
  <c r="E245" i="3" s="1"/>
  <c r="J246" i="3" l="1"/>
  <c r="K246" i="3" s="1"/>
  <c r="H246" i="3" s="1"/>
  <c r="B246" i="3"/>
  <c r="D246" i="3"/>
  <c r="E246" i="3" s="1"/>
  <c r="J247" i="3" l="1"/>
  <c r="K247" i="3" s="1"/>
  <c r="H247" i="3" s="1"/>
  <c r="D247" i="3"/>
  <c r="E247" i="3" s="1"/>
  <c r="B247" i="3"/>
  <c r="J248" i="3" l="1"/>
  <c r="K248" i="3" s="1"/>
  <c r="H248" i="3" s="1"/>
  <c r="B248" i="3"/>
  <c r="D248" i="3"/>
  <c r="E248" i="3" s="1"/>
  <c r="J249" i="3" l="1"/>
  <c r="K249" i="3" s="1"/>
  <c r="H249" i="3" s="1"/>
  <c r="D249" i="3"/>
  <c r="E249" i="3" s="1"/>
  <c r="B249" i="3"/>
  <c r="J250" i="3" l="1"/>
  <c r="K250" i="3" s="1"/>
  <c r="H250" i="3" s="1"/>
  <c r="B250" i="3"/>
  <c r="D250" i="3"/>
  <c r="E250" i="3" s="1"/>
  <c r="J251" i="3" l="1"/>
  <c r="K251" i="3" s="1"/>
  <c r="H251" i="3" s="1"/>
  <c r="D251" i="3"/>
  <c r="E251" i="3" s="1"/>
  <c r="B251" i="3"/>
  <c r="J252" i="3" l="1"/>
  <c r="K252" i="3" s="1"/>
  <c r="H252" i="3" s="1"/>
  <c r="B252" i="3"/>
  <c r="D252" i="3"/>
  <c r="E252" i="3" s="1"/>
  <c r="J253" i="3" l="1"/>
  <c r="K253" i="3" s="1"/>
  <c r="H253" i="3" s="1"/>
  <c r="D253" i="3"/>
  <c r="E253" i="3" s="1"/>
  <c r="B253" i="3"/>
  <c r="J254" i="3" l="1"/>
  <c r="K254" i="3" s="1"/>
  <c r="H254" i="3" s="1"/>
  <c r="D254" i="3"/>
  <c r="E254" i="3" s="1"/>
  <c r="B254" i="3"/>
  <c r="J255" i="3" l="1"/>
  <c r="K255" i="3" s="1"/>
  <c r="H255" i="3" s="1"/>
  <c r="D255" i="3"/>
  <c r="E255" i="3" s="1"/>
  <c r="B255" i="3"/>
  <c r="J256" i="3" l="1"/>
  <c r="K256" i="3" s="1"/>
  <c r="H256" i="3" s="1"/>
  <c r="D256" i="3"/>
  <c r="E256" i="3" s="1"/>
  <c r="B256" i="3"/>
  <c r="J257" i="3" l="1"/>
  <c r="K257" i="3" s="1"/>
  <c r="H257" i="3" s="1"/>
  <c r="D257" i="3"/>
  <c r="E257" i="3" s="1"/>
  <c r="B257" i="3"/>
  <c r="J258" i="3" l="1"/>
  <c r="K258" i="3" s="1"/>
  <c r="H258" i="3" s="1"/>
  <c r="B258" i="3"/>
  <c r="D258" i="3"/>
  <c r="E258" i="3" s="1"/>
  <c r="J259" i="3" l="1"/>
  <c r="K259" i="3" s="1"/>
  <c r="H259" i="3" s="1"/>
  <c r="B259" i="3"/>
  <c r="D259" i="3"/>
  <c r="E259" i="3" s="1"/>
  <c r="J260" i="3" l="1"/>
  <c r="K260" i="3" s="1"/>
  <c r="H260" i="3" s="1"/>
  <c r="B260" i="3"/>
  <c r="D260" i="3"/>
  <c r="E260" i="3" s="1"/>
  <c r="J261" i="3" l="1"/>
  <c r="K261" i="3" s="1"/>
  <c r="H261" i="3" s="1"/>
  <c r="D261" i="3"/>
  <c r="E261" i="3" s="1"/>
  <c r="B261" i="3"/>
  <c r="J262" i="3" l="1"/>
  <c r="K262" i="3" s="1"/>
  <c r="H262" i="3" s="1"/>
  <c r="D262" i="3"/>
  <c r="E262" i="3" s="1"/>
  <c r="B262" i="3"/>
  <c r="J263" i="3" l="1"/>
  <c r="K263" i="3" s="1"/>
  <c r="H263" i="3" s="1"/>
  <c r="D263" i="3"/>
  <c r="E263" i="3" s="1"/>
  <c r="B263" i="3"/>
  <c r="J264" i="3" l="1"/>
  <c r="K264" i="3" s="1"/>
  <c r="H264" i="3" s="1"/>
  <c r="D264" i="3"/>
  <c r="E264" i="3" s="1"/>
  <c r="B264" i="3"/>
  <c r="J265" i="3" l="1"/>
  <c r="K265" i="3" s="1"/>
  <c r="H265" i="3" s="1"/>
  <c r="D265" i="3"/>
  <c r="E265" i="3" s="1"/>
  <c r="B265" i="3"/>
  <c r="J266" i="3" l="1"/>
  <c r="K266" i="3" s="1"/>
  <c r="H266" i="3" s="1"/>
  <c r="B266" i="3"/>
  <c r="D266" i="3"/>
  <c r="E266" i="3" s="1"/>
  <c r="J267" i="3" l="1"/>
  <c r="K267" i="3" s="1"/>
  <c r="H267" i="3" s="1"/>
  <c r="D267" i="3"/>
  <c r="E267" i="3" s="1"/>
  <c r="B267" i="3"/>
  <c r="J268" i="3" l="1"/>
  <c r="K268" i="3" s="1"/>
  <c r="H268" i="3" s="1"/>
  <c r="D268" i="3"/>
  <c r="E268" i="3" s="1"/>
  <c r="B268" i="3"/>
  <c r="J269" i="3" l="1"/>
  <c r="K269" i="3" s="1"/>
  <c r="H269" i="3" s="1"/>
  <c r="B269" i="3"/>
  <c r="D269" i="3"/>
  <c r="E269" i="3" s="1"/>
  <c r="J270" i="3" l="1"/>
  <c r="K270" i="3" s="1"/>
  <c r="H270" i="3" s="1"/>
  <c r="B270" i="3"/>
  <c r="D270" i="3"/>
  <c r="E270" i="3" s="1"/>
  <c r="J271" i="3" l="1"/>
  <c r="K271" i="3" s="1"/>
  <c r="H271" i="3" s="1"/>
  <c r="B271" i="3"/>
  <c r="D271" i="3"/>
  <c r="E271" i="3" s="1"/>
  <c r="J272" i="3" l="1"/>
  <c r="K272" i="3" s="1"/>
  <c r="H272" i="3" s="1"/>
  <c r="D272" i="3"/>
  <c r="E272" i="3" s="1"/>
  <c r="B272" i="3"/>
  <c r="J273" i="3" l="1"/>
  <c r="K273" i="3" s="1"/>
  <c r="H273" i="3" s="1"/>
  <c r="D273" i="3"/>
  <c r="E273" i="3" s="1"/>
  <c r="B273" i="3"/>
  <c r="J274" i="3" l="1"/>
  <c r="K274" i="3" s="1"/>
  <c r="H274" i="3" s="1"/>
  <c r="B274" i="3"/>
  <c r="D274" i="3"/>
  <c r="E274" i="3" s="1"/>
  <c r="J275" i="3" l="1"/>
  <c r="K275" i="3" s="1"/>
  <c r="H275" i="3" s="1"/>
  <c r="B275" i="3"/>
  <c r="D275" i="3"/>
  <c r="E275" i="3" s="1"/>
  <c r="J276" i="3" l="1"/>
  <c r="K276" i="3" s="1"/>
  <c r="H276" i="3" s="1"/>
  <c r="B276" i="3"/>
  <c r="D276" i="3"/>
  <c r="E276" i="3" s="1"/>
  <c r="J277" i="3" l="1"/>
  <c r="K277" i="3" s="1"/>
  <c r="H277" i="3" s="1"/>
  <c r="D277" i="3"/>
  <c r="E277" i="3" s="1"/>
  <c r="B277" i="3"/>
  <c r="J278" i="3" l="1"/>
  <c r="K278" i="3" s="1"/>
  <c r="H278" i="3" s="1"/>
  <c r="D278" i="3"/>
  <c r="E278" i="3" s="1"/>
  <c r="B278" i="3"/>
  <c r="J279" i="3" l="1"/>
  <c r="K279" i="3" s="1"/>
  <c r="H279" i="3" s="1"/>
  <c r="B279" i="3"/>
  <c r="D279" i="3"/>
  <c r="E279" i="3" s="1"/>
  <c r="J280" i="3" l="1"/>
  <c r="K280" i="3" s="1"/>
  <c r="H280" i="3" s="1"/>
  <c r="B280" i="3"/>
  <c r="D280" i="3"/>
  <c r="E280" i="3" s="1"/>
  <c r="J281" i="3" l="1"/>
  <c r="K281" i="3" s="1"/>
  <c r="H281" i="3" s="1"/>
  <c r="B281" i="3"/>
  <c r="D281" i="3"/>
  <c r="E281" i="3" s="1"/>
  <c r="J282" i="3" l="1"/>
  <c r="K282" i="3" s="1"/>
  <c r="H282" i="3" s="1"/>
  <c r="B282" i="3"/>
  <c r="D282" i="3"/>
  <c r="E282" i="3" s="1"/>
  <c r="J283" i="3" l="1"/>
  <c r="K283" i="3" s="1"/>
  <c r="H283" i="3" s="1"/>
  <c r="B283" i="3"/>
  <c r="D283" i="3"/>
  <c r="E283" i="3" s="1"/>
  <c r="J284" i="3" l="1"/>
  <c r="K284" i="3" s="1"/>
  <c r="H284" i="3" s="1"/>
  <c r="B284" i="3"/>
  <c r="D284" i="3"/>
  <c r="E284" i="3" s="1"/>
  <c r="J285" i="3" l="1"/>
  <c r="K285" i="3" s="1"/>
  <c r="H285" i="3" s="1"/>
  <c r="B285" i="3"/>
  <c r="D285" i="3"/>
  <c r="E285" i="3" s="1"/>
  <c r="J286" i="3" l="1"/>
  <c r="K286" i="3" s="1"/>
  <c r="H286" i="3" s="1"/>
  <c r="B286" i="3"/>
  <c r="D286" i="3"/>
  <c r="E286" i="3" s="1"/>
  <c r="J287" i="3" l="1"/>
  <c r="K287" i="3" s="1"/>
  <c r="H287" i="3" s="1"/>
  <c r="B287" i="3"/>
  <c r="D287" i="3"/>
  <c r="E287" i="3" s="1"/>
  <c r="J288" i="3" l="1"/>
  <c r="K288" i="3" s="1"/>
  <c r="H288" i="3" s="1"/>
  <c r="D288" i="3"/>
  <c r="E288" i="3" s="1"/>
  <c r="B288" i="3"/>
  <c r="J289" i="3" l="1"/>
  <c r="K289" i="3" s="1"/>
  <c r="H289" i="3" s="1"/>
  <c r="D289" i="3"/>
  <c r="E289" i="3" s="1"/>
  <c r="B289" i="3"/>
  <c r="J290" i="3" l="1"/>
  <c r="K290" i="3" s="1"/>
  <c r="H290" i="3" s="1"/>
  <c r="B290" i="3"/>
  <c r="D290" i="3"/>
  <c r="E290" i="3" s="1"/>
  <c r="J291" i="3" l="1"/>
  <c r="K291" i="3" s="1"/>
  <c r="H291" i="3" s="1"/>
  <c r="D291" i="3"/>
  <c r="E291" i="3" s="1"/>
  <c r="B291" i="3"/>
  <c r="J292" i="3" l="1"/>
  <c r="K292" i="3" s="1"/>
  <c r="H292" i="3" s="1"/>
  <c r="D292" i="3"/>
  <c r="E292" i="3" s="1"/>
  <c r="B292" i="3"/>
  <c r="J293" i="3" l="1"/>
  <c r="K293" i="3" s="1"/>
  <c r="H293" i="3" s="1"/>
  <c r="B293" i="3"/>
  <c r="D293" i="3"/>
  <c r="E293" i="3" s="1"/>
  <c r="J294" i="3" l="1"/>
  <c r="K294" i="3" s="1"/>
  <c r="H294" i="3" s="1"/>
  <c r="B294" i="3"/>
  <c r="D294" i="3"/>
  <c r="E294" i="3" s="1"/>
  <c r="J295" i="3" l="1"/>
  <c r="K295" i="3" s="1"/>
  <c r="H295" i="3" s="1"/>
  <c r="D295" i="3"/>
  <c r="E295" i="3" s="1"/>
  <c r="B295" i="3"/>
  <c r="J296" i="3" l="1"/>
  <c r="K296" i="3" s="1"/>
  <c r="H296" i="3" s="1"/>
  <c r="D296" i="3"/>
  <c r="E296" i="3" s="1"/>
  <c r="B296" i="3"/>
  <c r="J297" i="3" l="1"/>
  <c r="K297" i="3" s="1"/>
  <c r="H297" i="3" s="1"/>
  <c r="B297" i="3"/>
  <c r="D297" i="3"/>
  <c r="E297" i="3" s="1"/>
  <c r="J298" i="3" l="1"/>
  <c r="K298" i="3" s="1"/>
  <c r="H298" i="3" s="1"/>
  <c r="D298" i="3"/>
  <c r="E298" i="3" s="1"/>
  <c r="B298" i="3"/>
  <c r="J299" i="3" l="1"/>
  <c r="K299" i="3" s="1"/>
  <c r="H299" i="3" s="1"/>
  <c r="B299" i="3"/>
  <c r="D299" i="3"/>
  <c r="E299" i="3" s="1"/>
  <c r="J300" i="3" l="1"/>
  <c r="K300" i="3" s="1"/>
  <c r="H300" i="3" s="1"/>
  <c r="D300" i="3"/>
  <c r="E300" i="3" s="1"/>
  <c r="B300" i="3"/>
  <c r="J301" i="3" l="1"/>
  <c r="K301" i="3" s="1"/>
  <c r="H301" i="3" s="1"/>
  <c r="D301" i="3"/>
  <c r="E301" i="3" s="1"/>
  <c r="B301" i="3"/>
  <c r="J302" i="3" l="1"/>
  <c r="K302" i="3" s="1"/>
  <c r="H302" i="3" s="1"/>
  <c r="D302" i="3"/>
  <c r="E302" i="3" s="1"/>
  <c r="B302" i="3"/>
  <c r="J303" i="3" l="1"/>
  <c r="K303" i="3" s="1"/>
  <c r="H303" i="3" s="1"/>
  <c r="B303" i="3"/>
  <c r="D303" i="3"/>
  <c r="E303" i="3" s="1"/>
  <c r="J304" i="3" l="1"/>
  <c r="K304" i="3" s="1"/>
  <c r="H304" i="3" s="1"/>
  <c r="B304" i="3"/>
  <c r="D304" i="3"/>
  <c r="E304" i="3" s="1"/>
  <c r="J305" i="3" l="1"/>
  <c r="K305" i="3" s="1"/>
  <c r="H305" i="3" s="1"/>
  <c r="B305" i="3"/>
  <c r="D305" i="3"/>
  <c r="E305" i="3" s="1"/>
  <c r="J306" i="3" l="1"/>
  <c r="K306" i="3" s="1"/>
  <c r="H306" i="3" s="1"/>
  <c r="B306" i="3"/>
  <c r="D306" i="3"/>
  <c r="E306" i="3" s="1"/>
  <c r="J307" i="3" l="1"/>
  <c r="K307" i="3" s="1"/>
  <c r="H307" i="3" s="1"/>
  <c r="D307" i="3"/>
  <c r="E307" i="3" s="1"/>
  <c r="B307" i="3"/>
  <c r="J308" i="3" l="1"/>
  <c r="K308" i="3" s="1"/>
  <c r="H308" i="3" s="1"/>
  <c r="B308" i="3"/>
  <c r="D308" i="3"/>
  <c r="E308" i="3" s="1"/>
  <c r="J309" i="3" l="1"/>
  <c r="K309" i="3" s="1"/>
  <c r="H309" i="3" s="1"/>
  <c r="D309" i="3"/>
  <c r="E309" i="3" s="1"/>
  <c r="B309" i="3"/>
  <c r="J310" i="3" l="1"/>
  <c r="K310" i="3" s="1"/>
  <c r="H310" i="3" s="1"/>
  <c r="B310" i="3"/>
  <c r="D310" i="3"/>
  <c r="E310" i="3" s="1"/>
  <c r="J311" i="3" l="1"/>
  <c r="K311" i="3" s="1"/>
  <c r="H311" i="3" s="1"/>
  <c r="D311" i="3"/>
  <c r="E311" i="3" s="1"/>
  <c r="B311" i="3"/>
  <c r="J312" i="3" l="1"/>
  <c r="K312" i="3" s="1"/>
  <c r="H312" i="3" s="1"/>
  <c r="B312" i="3"/>
  <c r="D312" i="3"/>
  <c r="E312" i="3" s="1"/>
  <c r="J313" i="3" l="1"/>
  <c r="K313" i="3" s="1"/>
  <c r="H313" i="3" s="1"/>
  <c r="D313" i="3"/>
  <c r="E313" i="3" s="1"/>
  <c r="B313" i="3"/>
  <c r="J314" i="3" l="1"/>
  <c r="K314" i="3" s="1"/>
  <c r="H314" i="3" s="1"/>
  <c r="D314" i="3"/>
  <c r="E314" i="3" s="1"/>
  <c r="B314" i="3"/>
  <c r="J315" i="3" l="1"/>
  <c r="K315" i="3" s="1"/>
  <c r="H315" i="3" s="1"/>
  <c r="B315" i="3"/>
  <c r="D315" i="3"/>
  <c r="E315" i="3" s="1"/>
  <c r="J316" i="3" l="1"/>
  <c r="K316" i="3" s="1"/>
  <c r="H316" i="3" s="1"/>
  <c r="D316" i="3"/>
  <c r="E316" i="3" s="1"/>
  <c r="B316" i="3"/>
  <c r="J317" i="3" l="1"/>
  <c r="K317" i="3" s="1"/>
  <c r="H317" i="3" s="1"/>
  <c r="B317" i="3"/>
  <c r="D317" i="3"/>
  <c r="E317" i="3" s="1"/>
  <c r="J318" i="3" l="1"/>
  <c r="K318" i="3" s="1"/>
  <c r="H318" i="3" s="1"/>
  <c r="B318" i="3"/>
  <c r="D318" i="3"/>
  <c r="E318" i="3" s="1"/>
  <c r="J319" i="3" l="1"/>
  <c r="K319" i="3" s="1"/>
  <c r="H319" i="3" s="1"/>
  <c r="B319" i="3"/>
  <c r="D319" i="3"/>
  <c r="E319" i="3" s="1"/>
  <c r="J320" i="3" l="1"/>
  <c r="K320" i="3" s="1"/>
  <c r="H320" i="3" s="1"/>
  <c r="B320" i="3"/>
  <c r="D320" i="3"/>
  <c r="E320" i="3" s="1"/>
  <c r="J321" i="3" l="1"/>
  <c r="K321" i="3" s="1"/>
  <c r="H321" i="3" s="1"/>
  <c r="B321" i="3"/>
  <c r="D321" i="3"/>
  <c r="E321" i="3" s="1"/>
  <c r="J322" i="3" l="1"/>
  <c r="K322" i="3" s="1"/>
  <c r="H322" i="3" s="1"/>
  <c r="D322" i="3"/>
  <c r="E322" i="3" s="1"/>
  <c r="B322" i="3"/>
  <c r="J323" i="3" l="1"/>
  <c r="K323" i="3" s="1"/>
  <c r="H323" i="3" s="1"/>
  <c r="B323" i="3"/>
  <c r="D323" i="3"/>
  <c r="E323" i="3" s="1"/>
  <c r="J324" i="3" l="1"/>
  <c r="K324" i="3" s="1"/>
  <c r="H324" i="3" s="1"/>
  <c r="D324" i="3"/>
  <c r="E324" i="3" s="1"/>
  <c r="B324" i="3"/>
  <c r="J325" i="3" l="1"/>
  <c r="K325" i="3" s="1"/>
  <c r="H325" i="3" s="1"/>
  <c r="B325" i="3"/>
  <c r="D325" i="3"/>
  <c r="E325" i="3" s="1"/>
  <c r="J326" i="3" l="1"/>
  <c r="K326" i="3" s="1"/>
  <c r="H326" i="3" s="1"/>
  <c r="D326" i="3"/>
  <c r="E326" i="3" s="1"/>
  <c r="B326" i="3"/>
  <c r="J327" i="3" l="1"/>
  <c r="K327" i="3" s="1"/>
  <c r="H327" i="3" s="1"/>
  <c r="D327" i="3"/>
  <c r="E327" i="3" s="1"/>
  <c r="B327" i="3"/>
  <c r="J328" i="3" l="1"/>
  <c r="K328" i="3" s="1"/>
  <c r="H328" i="3" s="1"/>
  <c r="B328" i="3"/>
  <c r="D328" i="3"/>
  <c r="E328" i="3" s="1"/>
  <c r="J329" i="3" l="1"/>
  <c r="K329" i="3" s="1"/>
  <c r="H329" i="3" s="1"/>
  <c r="D329" i="3"/>
  <c r="E329" i="3" s="1"/>
  <c r="B329" i="3"/>
  <c r="J330" i="3" l="1"/>
  <c r="K330" i="3" s="1"/>
  <c r="H330" i="3" s="1"/>
  <c r="B330" i="3"/>
  <c r="D330" i="3"/>
  <c r="E330" i="3" s="1"/>
  <c r="J331" i="3" l="1"/>
  <c r="K331" i="3" s="1"/>
  <c r="H331" i="3" s="1"/>
  <c r="B331" i="3"/>
  <c r="D331" i="3"/>
  <c r="E331" i="3" s="1"/>
  <c r="J332" i="3" l="1"/>
  <c r="K332" i="3" s="1"/>
  <c r="H332" i="3" s="1"/>
  <c r="B332" i="3"/>
  <c r="D332" i="3"/>
  <c r="E332" i="3" s="1"/>
  <c r="J333" i="3" l="1"/>
  <c r="K333" i="3" s="1"/>
  <c r="H333" i="3" s="1"/>
  <c r="D333" i="3"/>
  <c r="E333" i="3" s="1"/>
  <c r="B333" i="3"/>
  <c r="J334" i="3" l="1"/>
  <c r="K334" i="3" s="1"/>
  <c r="H334" i="3" s="1"/>
  <c r="D334" i="3"/>
  <c r="E334" i="3" s="1"/>
  <c r="B334" i="3"/>
  <c r="J335" i="3" l="1"/>
  <c r="K335" i="3" s="1"/>
  <c r="H335" i="3" s="1"/>
  <c r="B335" i="3"/>
  <c r="D335" i="3"/>
  <c r="E335" i="3" s="1"/>
  <c r="J336" i="3" l="1"/>
  <c r="K336" i="3" s="1"/>
  <c r="H336" i="3" s="1"/>
  <c r="D336" i="3"/>
  <c r="E336" i="3" s="1"/>
  <c r="B336" i="3"/>
  <c r="J337" i="3" l="1"/>
  <c r="K337" i="3" s="1"/>
  <c r="H337" i="3" s="1"/>
  <c r="D337" i="3"/>
  <c r="E337" i="3" s="1"/>
  <c r="B337" i="3"/>
  <c r="J338" i="3" l="1"/>
  <c r="K338" i="3" s="1"/>
  <c r="H338" i="3" s="1"/>
  <c r="D338" i="3"/>
  <c r="E338" i="3" s="1"/>
  <c r="B338" i="3"/>
  <c r="J339" i="3" l="1"/>
  <c r="K339" i="3" s="1"/>
  <c r="H339" i="3" s="1"/>
  <c r="D339" i="3"/>
  <c r="E339" i="3" s="1"/>
  <c r="B339" i="3"/>
  <c r="J340" i="3" l="1"/>
  <c r="K340" i="3" s="1"/>
  <c r="H340" i="3" s="1"/>
  <c r="B340" i="3"/>
  <c r="D340" i="3"/>
  <c r="E340" i="3" s="1"/>
  <c r="J341" i="3" l="1"/>
  <c r="K341" i="3" s="1"/>
  <c r="H341" i="3" s="1"/>
  <c r="D341" i="3"/>
  <c r="E341" i="3" s="1"/>
  <c r="B341" i="3"/>
  <c r="J342" i="3" l="1"/>
  <c r="K342" i="3" s="1"/>
  <c r="H342" i="3" s="1"/>
  <c r="B342" i="3"/>
  <c r="D342" i="3"/>
  <c r="E342" i="3" s="1"/>
  <c r="J343" i="3" l="1"/>
  <c r="K343" i="3" s="1"/>
  <c r="H343" i="3" s="1"/>
  <c r="B343" i="3"/>
  <c r="D343" i="3"/>
  <c r="E343" i="3" s="1"/>
  <c r="J344" i="3" l="1"/>
  <c r="K344" i="3" s="1"/>
  <c r="H344" i="3" s="1"/>
  <c r="D344" i="3"/>
  <c r="E344" i="3" s="1"/>
  <c r="B344" i="3"/>
  <c r="J345" i="3" l="1"/>
  <c r="K345" i="3" s="1"/>
  <c r="H345" i="3" s="1"/>
  <c r="B345" i="3"/>
  <c r="D345" i="3"/>
  <c r="E345" i="3" s="1"/>
  <c r="J346" i="3" l="1"/>
  <c r="K346" i="3" s="1"/>
  <c r="H346" i="3" s="1"/>
  <c r="D346" i="3"/>
  <c r="E346" i="3" s="1"/>
  <c r="B346" i="3"/>
  <c r="J347" i="3" l="1"/>
  <c r="K347" i="3" s="1"/>
  <c r="H347" i="3" s="1"/>
  <c r="B347" i="3"/>
  <c r="D347" i="3"/>
  <c r="E347" i="3" s="1"/>
  <c r="J348" i="3" l="1"/>
  <c r="K348" i="3" s="1"/>
  <c r="H348" i="3" s="1"/>
  <c r="B348" i="3"/>
  <c r="D348" i="3"/>
  <c r="E348" i="3" s="1"/>
  <c r="J349" i="3" l="1"/>
  <c r="K349" i="3" s="1"/>
  <c r="H349" i="3" s="1"/>
  <c r="B349" i="3"/>
  <c r="D349" i="3"/>
  <c r="E349" i="3" s="1"/>
  <c r="J350" i="3" l="1"/>
  <c r="K350" i="3" s="1"/>
  <c r="H350" i="3" s="1"/>
  <c r="B350" i="3"/>
  <c r="D350" i="3"/>
  <c r="E350" i="3" s="1"/>
  <c r="J351" i="3" l="1"/>
  <c r="K351" i="3" s="1"/>
  <c r="H351" i="3" s="1"/>
  <c r="D351" i="3"/>
  <c r="E351" i="3" s="1"/>
  <c r="B351" i="3"/>
  <c r="J352" i="3" l="1"/>
  <c r="K352" i="3" s="1"/>
  <c r="H352" i="3" s="1"/>
  <c r="D352" i="3"/>
  <c r="E352" i="3" s="1"/>
  <c r="B352" i="3"/>
  <c r="J353" i="3" l="1"/>
  <c r="K353" i="3" s="1"/>
  <c r="H353" i="3" s="1"/>
  <c r="B353" i="3"/>
  <c r="D353" i="3"/>
  <c r="E353" i="3" s="1"/>
  <c r="J354" i="3" l="1"/>
  <c r="K354" i="3" s="1"/>
  <c r="H354" i="3" s="1"/>
  <c r="D354" i="3"/>
  <c r="E354" i="3" s="1"/>
  <c r="B354" i="3"/>
  <c r="J355" i="3" l="1"/>
  <c r="K355" i="3" s="1"/>
  <c r="H355" i="3" s="1"/>
  <c r="D355" i="3"/>
  <c r="E355" i="3" s="1"/>
  <c r="B355" i="3"/>
  <c r="J356" i="3" l="1"/>
  <c r="K356" i="3" s="1"/>
  <c r="H356" i="3" s="1"/>
  <c r="B356" i="3"/>
  <c r="D356" i="3"/>
  <c r="E356" i="3" s="1"/>
  <c r="J357" i="3" l="1"/>
  <c r="K357" i="3" s="1"/>
  <c r="H357" i="3" s="1"/>
  <c r="B357" i="3"/>
  <c r="D357" i="3"/>
  <c r="E357" i="3" s="1"/>
  <c r="J358" i="3" l="1"/>
  <c r="K358" i="3" s="1"/>
  <c r="H358" i="3" s="1"/>
  <c r="B358" i="3"/>
  <c r="D358" i="3"/>
  <c r="E358" i="3" s="1"/>
  <c r="J359" i="3" l="1"/>
  <c r="K359" i="3" s="1"/>
  <c r="H359" i="3" s="1"/>
  <c r="B359" i="3"/>
  <c r="D359" i="3"/>
  <c r="E359" i="3" s="1"/>
  <c r="J360" i="3" l="1"/>
  <c r="K360" i="3" s="1"/>
  <c r="H360" i="3" s="1"/>
  <c r="D360" i="3"/>
  <c r="E360" i="3" s="1"/>
  <c r="B360" i="3"/>
  <c r="J361" i="3" l="1"/>
  <c r="K361" i="3" s="1"/>
  <c r="H361" i="3" s="1"/>
  <c r="B361" i="3"/>
  <c r="D361" i="3"/>
  <c r="E361" i="3" s="1"/>
  <c r="J362" i="3" l="1"/>
  <c r="K362" i="3" s="1"/>
  <c r="H362" i="3" s="1"/>
  <c r="B362" i="3"/>
  <c r="D362" i="3"/>
  <c r="E362" i="3" s="1"/>
  <c r="J363" i="3" l="1"/>
  <c r="K363" i="3" s="1"/>
  <c r="H363" i="3" s="1"/>
  <c r="B363" i="3"/>
  <c r="D363" i="3"/>
  <c r="E363" i="3" s="1"/>
  <c r="J364" i="3" l="1"/>
  <c r="K364" i="3" s="1"/>
  <c r="H364" i="3" s="1"/>
  <c r="B364" i="3"/>
  <c r="D364" i="3"/>
  <c r="E364" i="3" s="1"/>
  <c r="J365" i="3" l="1"/>
  <c r="K365" i="3" s="1"/>
  <c r="H365" i="3" s="1"/>
  <c r="D365" i="3"/>
  <c r="E365" i="3" s="1"/>
  <c r="B365" i="3"/>
  <c r="J366" i="3" l="1"/>
  <c r="K366" i="3" s="1"/>
  <c r="H366" i="3" s="1"/>
  <c r="D366" i="3"/>
  <c r="E366" i="3" s="1"/>
  <c r="B366" i="3"/>
  <c r="J367" i="3" l="1"/>
  <c r="K367" i="3" s="1"/>
  <c r="H367" i="3" s="1"/>
  <c r="B367" i="3"/>
  <c r="D367" i="3"/>
  <c r="E367" i="3" s="1"/>
  <c r="J368" i="3" l="1"/>
  <c r="K368" i="3" s="1"/>
  <c r="H368" i="3" s="1"/>
  <c r="B368" i="3"/>
  <c r="D368" i="3"/>
  <c r="E368" i="3" s="1"/>
  <c r="J369" i="3" l="1"/>
  <c r="K369" i="3" s="1"/>
  <c r="H369" i="3" s="1"/>
  <c r="B369" i="3"/>
  <c r="D369" i="3"/>
  <c r="E369" i="3" s="1"/>
  <c r="J370" i="3" l="1"/>
  <c r="K370" i="3" s="1"/>
  <c r="H370" i="3" s="1"/>
  <c r="B370" i="3"/>
  <c r="D370" i="3"/>
  <c r="E370" i="3" s="1"/>
  <c r="J371" i="3" l="1"/>
  <c r="K371" i="3" s="1"/>
  <c r="H371" i="3" s="1"/>
  <c r="D371" i="3"/>
  <c r="E371" i="3" s="1"/>
  <c r="B371" i="3"/>
  <c r="J372" i="3" l="1"/>
  <c r="K372" i="3" s="1"/>
  <c r="H372" i="3" s="1"/>
  <c r="B372" i="3"/>
  <c r="D372" i="3"/>
  <c r="E372" i="3" s="1"/>
  <c r="J373" i="3" l="1"/>
  <c r="K373" i="3" s="1"/>
  <c r="H373" i="3" s="1"/>
  <c r="D373" i="3"/>
  <c r="E373" i="3" s="1"/>
  <c r="B373" i="3"/>
  <c r="J374" i="3" l="1"/>
  <c r="K374" i="3" s="1"/>
  <c r="H374" i="3" s="1"/>
  <c r="B374" i="3"/>
  <c r="D374" i="3"/>
  <c r="E374" i="3" s="1"/>
  <c r="J375" i="3" l="1"/>
  <c r="K375" i="3" s="1"/>
  <c r="H375" i="3" s="1"/>
  <c r="D375" i="3"/>
  <c r="E375" i="3" s="1"/>
  <c r="B375" i="3"/>
  <c r="J376" i="3" l="1"/>
  <c r="K376" i="3" s="1"/>
  <c r="H376" i="3" s="1"/>
  <c r="B376" i="3"/>
  <c r="D376" i="3"/>
  <c r="E376" i="3" s="1"/>
  <c r="J377" i="3" l="1"/>
  <c r="K377" i="3" s="1"/>
  <c r="H377" i="3" s="1"/>
  <c r="D377" i="3"/>
  <c r="E377" i="3" s="1"/>
  <c r="B377" i="3"/>
  <c r="J378" i="3" l="1"/>
  <c r="K378" i="3" s="1"/>
  <c r="H378" i="3" s="1"/>
  <c r="D378" i="3"/>
  <c r="E378" i="3" s="1"/>
  <c r="B378" i="3"/>
  <c r="J379" i="3" l="1"/>
  <c r="K379" i="3" s="1"/>
  <c r="H379" i="3" s="1"/>
  <c r="D379" i="3"/>
  <c r="E379" i="3" s="1"/>
  <c r="B379" i="3"/>
  <c r="J380" i="3" l="1"/>
  <c r="K380" i="3" s="1"/>
  <c r="H380" i="3" s="1"/>
  <c r="B380" i="3"/>
  <c r="D380" i="3"/>
  <c r="E380" i="3" s="1"/>
  <c r="J381" i="3" l="1"/>
  <c r="K381" i="3" s="1"/>
  <c r="H381" i="3" s="1"/>
  <c r="B381" i="3"/>
  <c r="D381" i="3"/>
  <c r="E381" i="3" s="1"/>
  <c r="J382" i="3" l="1"/>
  <c r="K382" i="3" s="1"/>
  <c r="H382" i="3" s="1"/>
  <c r="D382" i="3"/>
  <c r="E382" i="3" s="1"/>
  <c r="B382" i="3"/>
  <c r="J383" i="3" l="1"/>
  <c r="K383" i="3" s="1"/>
  <c r="H383" i="3" s="1"/>
  <c r="D383" i="3"/>
  <c r="E383" i="3" s="1"/>
  <c r="B383" i="3"/>
  <c r="J384" i="3" l="1"/>
  <c r="K384" i="3" s="1"/>
  <c r="H384" i="3" s="1"/>
  <c r="B384" i="3"/>
  <c r="D384" i="3"/>
  <c r="E384" i="3" s="1"/>
  <c r="J385" i="3" l="1"/>
  <c r="K385" i="3" s="1"/>
  <c r="H385" i="3" s="1"/>
  <c r="B385" i="3"/>
  <c r="D385" i="3"/>
  <c r="E385" i="3" s="1"/>
  <c r="J386" i="3" l="1"/>
  <c r="K386" i="3" s="1"/>
  <c r="H386" i="3" s="1"/>
  <c r="D386" i="3"/>
  <c r="E386" i="3" s="1"/>
  <c r="B386" i="3"/>
  <c r="J387" i="3" l="1"/>
  <c r="K387" i="3" s="1"/>
  <c r="H387" i="3" s="1"/>
  <c r="B387" i="3"/>
  <c r="D387" i="3"/>
  <c r="E387" i="3" s="1"/>
  <c r="J388" i="3" l="1"/>
  <c r="K388" i="3" s="1"/>
  <c r="H388" i="3" s="1"/>
  <c r="B388" i="3"/>
  <c r="D388" i="3"/>
  <c r="E388" i="3" s="1"/>
  <c r="J389" i="3" l="1"/>
  <c r="K389" i="3" s="1"/>
  <c r="H389" i="3" s="1"/>
  <c r="B389" i="3"/>
  <c r="D389" i="3"/>
  <c r="E389" i="3" s="1"/>
  <c r="J390" i="3" l="1"/>
  <c r="K390" i="3" s="1"/>
  <c r="H390" i="3" s="1"/>
  <c r="D390" i="3"/>
  <c r="E390" i="3" s="1"/>
  <c r="B390" i="3"/>
  <c r="J391" i="3" l="1"/>
  <c r="K391" i="3" s="1"/>
  <c r="H391" i="3" s="1"/>
  <c r="D391" i="3"/>
  <c r="E391" i="3" s="1"/>
  <c r="B391" i="3"/>
  <c r="J392" i="3" l="1"/>
  <c r="K392" i="3" s="1"/>
  <c r="H392" i="3" s="1"/>
  <c r="D392" i="3"/>
  <c r="E392" i="3" s="1"/>
  <c r="B392" i="3"/>
  <c r="J393" i="3" l="1"/>
  <c r="K393" i="3" s="1"/>
  <c r="H393" i="3" s="1"/>
  <c r="B393" i="3"/>
  <c r="D393" i="3"/>
  <c r="E393" i="3" s="1"/>
  <c r="J394" i="3" l="1"/>
  <c r="K394" i="3" s="1"/>
  <c r="H394" i="3" s="1"/>
  <c r="D394" i="3"/>
  <c r="E394" i="3" s="1"/>
  <c r="B394" i="3"/>
  <c r="J395" i="3" l="1"/>
  <c r="K395" i="3" s="1"/>
  <c r="H395" i="3" s="1"/>
  <c r="B395" i="3"/>
  <c r="D395" i="3"/>
  <c r="E395" i="3" s="1"/>
  <c r="J396" i="3" l="1"/>
  <c r="K396" i="3" s="1"/>
  <c r="H396" i="3" s="1"/>
  <c r="B396" i="3"/>
  <c r="D396" i="3"/>
  <c r="E396" i="3" s="1"/>
  <c r="J397" i="3" l="1"/>
  <c r="K397" i="3" s="1"/>
  <c r="H397" i="3" s="1"/>
  <c r="B397" i="3"/>
  <c r="D397" i="3"/>
  <c r="E397" i="3" s="1"/>
  <c r="J398" i="3" l="1"/>
  <c r="K398" i="3" s="1"/>
  <c r="H398" i="3" s="1"/>
  <c r="B398" i="3"/>
  <c r="D398" i="3"/>
  <c r="E398" i="3" s="1"/>
  <c r="J399" i="3" l="1"/>
  <c r="K399" i="3" s="1"/>
  <c r="H399" i="3" s="1"/>
  <c r="D399" i="3"/>
  <c r="E399" i="3" s="1"/>
  <c r="B399" i="3"/>
  <c r="J400" i="3" l="1"/>
  <c r="K400" i="3" s="1"/>
  <c r="H400" i="3" s="1"/>
  <c r="D400" i="3"/>
  <c r="E400" i="3" s="1"/>
  <c r="B400" i="3"/>
  <c r="J401" i="3" l="1"/>
  <c r="K401" i="3" s="1"/>
  <c r="H401" i="3"/>
  <c r="D401" i="3"/>
  <c r="E401" i="3" s="1"/>
  <c r="B401" i="3"/>
  <c r="J402" i="3" l="1"/>
  <c r="K402" i="3" s="1"/>
  <c r="H402" i="3" s="1"/>
  <c r="D402" i="3"/>
  <c r="E402" i="3" s="1"/>
  <c r="B402" i="3"/>
  <c r="J403" i="3" l="1"/>
  <c r="K403" i="3" s="1"/>
  <c r="H403" i="3" s="1"/>
  <c r="D403" i="3"/>
  <c r="E403" i="3" s="1"/>
  <c r="B403" i="3"/>
  <c r="J404" i="3" l="1"/>
  <c r="K404" i="3" s="1"/>
  <c r="H404" i="3"/>
  <c r="B404" i="3"/>
  <c r="D404" i="3"/>
  <c r="E404" i="3" s="1"/>
  <c r="J405" i="3" l="1"/>
  <c r="K405" i="3" s="1"/>
  <c r="H405" i="3" s="1"/>
  <c r="D405" i="3"/>
  <c r="E405" i="3" s="1"/>
  <c r="B405" i="3"/>
  <c r="J406" i="3" l="1"/>
  <c r="K406" i="3" s="1"/>
  <c r="H406" i="3"/>
  <c r="D406" i="3"/>
  <c r="E406" i="3" s="1"/>
  <c r="B406" i="3"/>
  <c r="J407" i="3" l="1"/>
  <c r="K407" i="3" s="1"/>
  <c r="H407" i="3" s="1"/>
  <c r="D407" i="3"/>
  <c r="E407" i="3" s="1"/>
  <c r="B407" i="3"/>
  <c r="J408" i="3" l="1"/>
  <c r="K408" i="3" s="1"/>
  <c r="H408" i="3" s="1"/>
  <c r="B408" i="3"/>
  <c r="D408" i="3"/>
  <c r="E408" i="3" s="1"/>
  <c r="J409" i="3" l="1"/>
  <c r="K409" i="3" s="1"/>
  <c r="H409" i="3" s="1"/>
  <c r="B409" i="3"/>
  <c r="D409" i="3"/>
  <c r="E409" i="3" s="1"/>
  <c r="J410" i="3" l="1"/>
  <c r="K410" i="3" s="1"/>
  <c r="H410" i="3" s="1"/>
  <c r="B410" i="3"/>
  <c r="D410" i="3"/>
  <c r="E410" i="3" s="1"/>
  <c r="J411" i="3" l="1"/>
  <c r="K411" i="3" s="1"/>
  <c r="H411" i="3" s="1"/>
  <c r="J412" i="3" s="1"/>
  <c r="K412" i="3" s="1"/>
  <c r="H412" i="3" s="1"/>
  <c r="D411" i="3"/>
  <c r="E411" i="3" s="1"/>
  <c r="B411" i="3"/>
  <c r="J413" i="3" l="1"/>
  <c r="K413" i="3" s="1"/>
  <c r="H413" i="3" s="1"/>
  <c r="B412" i="3"/>
  <c r="D412" i="3"/>
  <c r="E412" i="3" s="1"/>
  <c r="J414" i="3" l="1"/>
  <c r="K414" i="3" s="1"/>
  <c r="H414" i="3" s="1"/>
  <c r="B413" i="3"/>
  <c r="D413" i="3"/>
  <c r="E413" i="3" s="1"/>
  <c r="J415" i="3" l="1"/>
  <c r="K415" i="3" s="1"/>
  <c r="H415" i="3" s="1"/>
  <c r="D414" i="3"/>
  <c r="E414" i="3" s="1"/>
  <c r="B414" i="3"/>
  <c r="J416" i="3" l="1"/>
  <c r="K416" i="3" s="1"/>
  <c r="H416" i="3" s="1"/>
  <c r="J417" i="3" s="1"/>
  <c r="K417" i="3" s="1"/>
  <c r="H417" i="3" s="1"/>
  <c r="B415" i="3"/>
  <c r="D415" i="3"/>
  <c r="E415" i="3" s="1"/>
  <c r="J418" i="3" l="1"/>
  <c r="K418" i="3" s="1"/>
  <c r="H418" i="3" s="1"/>
  <c r="B416" i="3"/>
  <c r="D416" i="3"/>
  <c r="E416" i="3" s="1"/>
  <c r="J419" i="3" l="1"/>
  <c r="K419" i="3" s="1"/>
  <c r="H419" i="3" s="1"/>
  <c r="D417" i="3"/>
  <c r="E417" i="3" s="1"/>
  <c r="B417" i="3"/>
  <c r="J420" i="3" l="1"/>
  <c r="K420" i="3" s="1"/>
  <c r="H420" i="3" s="1"/>
  <c r="B418" i="3"/>
  <c r="D418" i="3"/>
  <c r="E418" i="3" s="1"/>
  <c r="J421" i="3" l="1"/>
  <c r="K421" i="3" s="1"/>
  <c r="H421" i="3" s="1"/>
  <c r="D419" i="3"/>
  <c r="E419" i="3" s="1"/>
  <c r="B419" i="3"/>
  <c r="J422" i="3" l="1"/>
  <c r="K422" i="3" s="1"/>
  <c r="H422" i="3" s="1"/>
  <c r="B420" i="3"/>
  <c r="D420" i="3"/>
  <c r="E420" i="3" s="1"/>
  <c r="J423" i="3" l="1"/>
  <c r="K423" i="3" s="1"/>
  <c r="H423" i="3" s="1"/>
  <c r="D421" i="3"/>
  <c r="E421" i="3" s="1"/>
  <c r="B421" i="3"/>
  <c r="J424" i="3" l="1"/>
  <c r="K424" i="3" s="1"/>
  <c r="H424" i="3" s="1"/>
  <c r="B422" i="3"/>
  <c r="D422" i="3"/>
  <c r="E422" i="3" s="1"/>
  <c r="J425" i="3" l="1"/>
  <c r="K425" i="3" s="1"/>
  <c r="H425" i="3" s="1"/>
  <c r="B423" i="3"/>
  <c r="D423" i="3"/>
  <c r="E423" i="3" s="1"/>
  <c r="J426" i="3" l="1"/>
  <c r="K426" i="3" s="1"/>
  <c r="H426" i="3" s="1"/>
  <c r="B424" i="3"/>
  <c r="D424" i="3"/>
  <c r="E424" i="3" s="1"/>
  <c r="J427" i="3" l="1"/>
  <c r="K427" i="3" s="1"/>
  <c r="H427" i="3" s="1"/>
  <c r="B425" i="3"/>
  <c r="D425" i="3"/>
  <c r="E425" i="3" s="1"/>
  <c r="J428" i="3" l="1"/>
  <c r="K428" i="3" s="1"/>
  <c r="H428" i="3"/>
  <c r="D426" i="3"/>
  <c r="E426" i="3" s="1"/>
  <c r="B426" i="3"/>
  <c r="B427" i="3" l="1"/>
  <c r="D427" i="3"/>
  <c r="E427" i="3" s="1"/>
  <c r="B428" i="3" l="1"/>
  <c r="D428" i="3"/>
  <c r="E428" i="3" s="1"/>
</calcChain>
</file>

<file path=xl/sharedStrings.xml><?xml version="1.0" encoding="utf-8"?>
<sst xmlns="http://schemas.openxmlformats.org/spreadsheetml/2006/main" count="63" uniqueCount="32">
  <si>
    <t>M=C.(1+i)^n</t>
  </si>
  <si>
    <t>Valor</t>
  </si>
  <si>
    <t>C</t>
  </si>
  <si>
    <t>i</t>
  </si>
  <si>
    <t>Valor [C]</t>
  </si>
  <si>
    <t>Taxa mensal [i]</t>
  </si>
  <si>
    <t>Total de parcelas [n]</t>
  </si>
  <si>
    <t>n</t>
  </si>
  <si>
    <t>Montante [M]</t>
  </si>
  <si>
    <t>M</t>
  </si>
  <si>
    <t>Valor da parcela</t>
  </si>
  <si>
    <t>Taxa</t>
  </si>
  <si>
    <t>Juros</t>
  </si>
  <si>
    <t>Montante</t>
  </si>
  <si>
    <t>Prova real</t>
  </si>
  <si>
    <t>Mês</t>
  </si>
  <si>
    <t>Exemplo jutos compostos</t>
  </si>
  <si>
    <t>Fórmula juros compostos</t>
  </si>
  <si>
    <t>Exemplo Juros simples</t>
  </si>
  <si>
    <t>Calculando Empréstimo</t>
  </si>
  <si>
    <t>Valor do empréstimo (PV)</t>
  </si>
  <si>
    <t>Taxa de Juros Mensal (i)</t>
  </si>
  <si>
    <t>Número de parcelas (n)</t>
  </si>
  <si>
    <t>SAC</t>
  </si>
  <si>
    <t>Amortização</t>
  </si>
  <si>
    <t>Saldo devedor</t>
  </si>
  <si>
    <t>Ao ano</t>
  </si>
  <si>
    <t>PRICE</t>
  </si>
  <si>
    <t>Parcela constante</t>
  </si>
  <si>
    <t>Parcela decrescente</t>
  </si>
  <si>
    <t>Total SAC</t>
  </si>
  <si>
    <t>Total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</si>
</sst>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8" formatCode="0.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44" fontId="0" fillId="0" borderId="0" xfId="1" applyFont="1"/>
    <xf numFmtId="10" fontId="0" fillId="0" borderId="0" xfId="0" applyNumberFormat="1"/>
    <xf numFmtId="44" fontId="0" fillId="0" borderId="0" xfId="0" applyNumberFormat="1"/>
    <xf numFmtId="0" fontId="2" fillId="0" borderId="0" xfId="0" applyFont="1"/>
    <xf numFmtId="0" fontId="3" fillId="0" borderId="0" xfId="0" applyFont="1"/>
    <xf numFmtId="44" fontId="1" fillId="0" borderId="0" xfId="1" applyFont="1"/>
    <xf numFmtId="0" fontId="0" fillId="0" borderId="0" xfId="0" applyFont="1"/>
    <xf numFmtId="9" fontId="0" fillId="0" borderId="0" xfId="0" applyNumberFormat="1"/>
    <xf numFmtId="168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8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CC5FF-AD4A-4999-B3C3-4A26AEFFE089}">
  <dimension ref="A1:I17"/>
  <sheetViews>
    <sheetView tabSelected="1" workbookViewId="0">
      <selection activeCell="B21" sqref="B21"/>
    </sheetView>
  </sheetViews>
  <sheetFormatPr defaultRowHeight="14.4" x14ac:dyDescent="0.3"/>
  <cols>
    <col min="1" max="1" width="24.6640625" bestFit="1" customWidth="1"/>
    <col min="2" max="2" width="13.33203125" bestFit="1" customWidth="1"/>
    <col min="3" max="3" width="2.5546875" bestFit="1" customWidth="1"/>
    <col min="5" max="5" width="13.33203125" bestFit="1" customWidth="1"/>
    <col min="6" max="6" width="6.109375" bestFit="1" customWidth="1"/>
    <col min="7" max="7" width="10.5546875" bestFit="1" customWidth="1"/>
    <col min="8" max="8" width="13.33203125" bestFit="1" customWidth="1"/>
    <col min="9" max="9" width="4.5546875" bestFit="1" customWidth="1"/>
  </cols>
  <sheetData>
    <row r="1" spans="1:9" ht="23.4" x14ac:dyDescent="0.45">
      <c r="A1" s="5" t="s">
        <v>12</v>
      </c>
    </row>
    <row r="2" spans="1:9" x14ac:dyDescent="0.3">
      <c r="A2" t="s">
        <v>17</v>
      </c>
      <c r="B2" s="4" t="s">
        <v>0</v>
      </c>
    </row>
    <row r="3" spans="1:9" x14ac:dyDescent="0.3">
      <c r="E3" s="4" t="s">
        <v>14</v>
      </c>
    </row>
    <row r="4" spans="1:9" x14ac:dyDescent="0.3">
      <c r="A4" s="4" t="s">
        <v>18</v>
      </c>
      <c r="E4" t="s">
        <v>1</v>
      </c>
      <c r="F4" t="s">
        <v>11</v>
      </c>
      <c r="G4" t="s">
        <v>12</v>
      </c>
      <c r="H4" t="s">
        <v>13</v>
      </c>
      <c r="I4" t="s">
        <v>15</v>
      </c>
    </row>
    <row r="5" spans="1:9" x14ac:dyDescent="0.3">
      <c r="A5" t="s">
        <v>4</v>
      </c>
      <c r="B5" s="1">
        <v>10000</v>
      </c>
      <c r="C5" t="s">
        <v>2</v>
      </c>
      <c r="E5" s="1">
        <v>10000</v>
      </c>
      <c r="F5" s="2">
        <v>1.2E-2</v>
      </c>
      <c r="G5" s="3">
        <f>E5*F5</f>
        <v>120</v>
      </c>
      <c r="H5" s="3">
        <f>E5+G5</f>
        <v>10120</v>
      </c>
      <c r="I5">
        <v>1</v>
      </c>
    </row>
    <row r="6" spans="1:9" x14ac:dyDescent="0.3">
      <c r="A6" t="s">
        <v>5</v>
      </c>
      <c r="B6" s="2">
        <v>1.2E-2</v>
      </c>
      <c r="C6" t="s">
        <v>3</v>
      </c>
      <c r="E6" s="3">
        <f>H5</f>
        <v>10120</v>
      </c>
      <c r="F6" s="2">
        <v>1.2E-2</v>
      </c>
      <c r="G6" s="3">
        <f>E6*F6</f>
        <v>121.44</v>
      </c>
      <c r="H6" s="3">
        <f>E6+G6</f>
        <v>10241.44</v>
      </c>
      <c r="I6">
        <v>2</v>
      </c>
    </row>
    <row r="7" spans="1:9" x14ac:dyDescent="0.3">
      <c r="A7" t="s">
        <v>6</v>
      </c>
      <c r="B7">
        <v>12</v>
      </c>
      <c r="C7" t="s">
        <v>7</v>
      </c>
      <c r="E7" s="3">
        <f t="shared" ref="E7:E14" si="0">H6</f>
        <v>10241.44</v>
      </c>
      <c r="F7" s="2">
        <v>1.2E-2</v>
      </c>
      <c r="G7" s="3">
        <f t="shared" ref="G7:G14" si="1">E7*F7</f>
        <v>122.89728000000001</v>
      </c>
      <c r="H7" s="3">
        <f t="shared" ref="H7:H14" si="2">E7+G7</f>
        <v>10364.33728</v>
      </c>
      <c r="I7">
        <v>3</v>
      </c>
    </row>
    <row r="8" spans="1:9" x14ac:dyDescent="0.3">
      <c r="A8" t="s">
        <v>13</v>
      </c>
      <c r="B8" s="3">
        <f>B5+B5*B6*B7</f>
        <v>11440</v>
      </c>
      <c r="E8" s="3">
        <f>H7</f>
        <v>10364.33728</v>
      </c>
      <c r="F8" s="2">
        <v>1.2E-2</v>
      </c>
      <c r="G8" s="3">
        <f t="shared" si="1"/>
        <v>124.37204736</v>
      </c>
      <c r="H8" s="3">
        <f t="shared" si="2"/>
        <v>10488.70932736</v>
      </c>
      <c r="I8">
        <v>4</v>
      </c>
    </row>
    <row r="9" spans="1:9" x14ac:dyDescent="0.3">
      <c r="A9" t="s">
        <v>10</v>
      </c>
      <c r="B9" s="3">
        <f>B8/B7</f>
        <v>953.33333333333337</v>
      </c>
      <c r="E9" s="3">
        <f t="shared" si="0"/>
        <v>10488.70932736</v>
      </c>
      <c r="F9" s="2">
        <v>1.2E-2</v>
      </c>
      <c r="G9" s="3">
        <f t="shared" si="1"/>
        <v>125.86451192832001</v>
      </c>
      <c r="H9" s="3">
        <f t="shared" si="2"/>
        <v>10614.57383928832</v>
      </c>
      <c r="I9">
        <v>5</v>
      </c>
    </row>
    <row r="10" spans="1:9" x14ac:dyDescent="0.3">
      <c r="E10" s="3">
        <f t="shared" si="0"/>
        <v>10614.57383928832</v>
      </c>
      <c r="F10" s="2">
        <v>1.2E-2</v>
      </c>
      <c r="G10" s="3">
        <f t="shared" si="1"/>
        <v>127.37488607145984</v>
      </c>
      <c r="H10" s="3">
        <f t="shared" si="2"/>
        <v>10741.94872535978</v>
      </c>
      <c r="I10">
        <v>6</v>
      </c>
    </row>
    <row r="11" spans="1:9" x14ac:dyDescent="0.3">
      <c r="A11" s="4" t="s">
        <v>16</v>
      </c>
      <c r="E11" s="3">
        <f t="shared" si="0"/>
        <v>10741.94872535978</v>
      </c>
      <c r="F11" s="2">
        <v>1.2E-2</v>
      </c>
      <c r="G11" s="3">
        <f t="shared" si="1"/>
        <v>128.90338470431738</v>
      </c>
      <c r="H11" s="3">
        <f t="shared" si="2"/>
        <v>10870.852110064097</v>
      </c>
      <c r="I11">
        <v>7</v>
      </c>
    </row>
    <row r="12" spans="1:9" x14ac:dyDescent="0.3">
      <c r="A12" t="s">
        <v>4</v>
      </c>
      <c r="B12" s="6">
        <v>10000</v>
      </c>
      <c r="C12" t="s">
        <v>2</v>
      </c>
      <c r="E12" s="3">
        <f t="shared" si="0"/>
        <v>10870.852110064097</v>
      </c>
      <c r="F12" s="2">
        <v>1.2E-2</v>
      </c>
      <c r="G12" s="3">
        <f t="shared" si="1"/>
        <v>130.45022532076916</v>
      </c>
      <c r="H12" s="3">
        <f t="shared" si="2"/>
        <v>11001.302335384866</v>
      </c>
      <c r="I12">
        <v>8</v>
      </c>
    </row>
    <row r="13" spans="1:9" x14ac:dyDescent="0.3">
      <c r="A13" t="s">
        <v>5</v>
      </c>
      <c r="B13" s="2">
        <v>1.2E-2</v>
      </c>
      <c r="C13" t="s">
        <v>3</v>
      </c>
      <c r="E13" s="3">
        <f t="shared" si="0"/>
        <v>11001.302335384866</v>
      </c>
      <c r="F13" s="2">
        <v>1.2E-2</v>
      </c>
      <c r="G13" s="3">
        <f t="shared" si="1"/>
        <v>132.01562802461839</v>
      </c>
      <c r="H13" s="3">
        <f t="shared" si="2"/>
        <v>11133.317963409485</v>
      </c>
      <c r="I13">
        <v>9</v>
      </c>
    </row>
    <row r="14" spans="1:9" x14ac:dyDescent="0.3">
      <c r="A14" t="s">
        <v>6</v>
      </c>
      <c r="B14">
        <v>12</v>
      </c>
      <c r="C14" t="s">
        <v>7</v>
      </c>
      <c r="E14" s="3">
        <f t="shared" si="0"/>
        <v>11133.317963409485</v>
      </c>
      <c r="F14" s="2">
        <v>1.2E-2</v>
      </c>
      <c r="G14" s="3">
        <f t="shared" si="1"/>
        <v>133.59981556091381</v>
      </c>
      <c r="H14" s="3">
        <f t="shared" si="2"/>
        <v>11266.917778970399</v>
      </c>
      <c r="I14">
        <v>10</v>
      </c>
    </row>
    <row r="15" spans="1:9" x14ac:dyDescent="0.3">
      <c r="A15" t="s">
        <v>8</v>
      </c>
      <c r="B15" s="3">
        <f>B12*(1+B13)^B14</f>
        <v>11538.946241825859</v>
      </c>
      <c r="C15" t="s">
        <v>9</v>
      </c>
      <c r="E15" s="3">
        <f t="shared" ref="E15" si="3">H14</f>
        <v>11266.917778970399</v>
      </c>
      <c r="F15" s="2">
        <v>1.2E-2</v>
      </c>
      <c r="G15" s="3">
        <f t="shared" ref="G15" si="4">E15*F15</f>
        <v>135.2030133476448</v>
      </c>
      <c r="H15" s="3">
        <f t="shared" ref="H15" si="5">E15+G15</f>
        <v>11402.120792318045</v>
      </c>
      <c r="I15">
        <v>11</v>
      </c>
    </row>
    <row r="16" spans="1:9" x14ac:dyDescent="0.3">
      <c r="A16" t="s">
        <v>10</v>
      </c>
      <c r="B16" s="3">
        <f>B15/B14</f>
        <v>961.57885348548825</v>
      </c>
      <c r="E16" s="3">
        <f t="shared" ref="E16" si="6">H15</f>
        <v>11402.120792318045</v>
      </c>
      <c r="F16" s="2">
        <v>1.2E-2</v>
      </c>
      <c r="G16" s="3">
        <f t="shared" ref="G16" si="7">E16*F16</f>
        <v>136.82544950781653</v>
      </c>
      <c r="H16" s="3">
        <f t="shared" ref="H16" si="8">E16+G16</f>
        <v>11538.946241825861</v>
      </c>
      <c r="I16">
        <v>12</v>
      </c>
    </row>
    <row r="17" spans="5:8" x14ac:dyDescent="0.3">
      <c r="E17" s="3"/>
      <c r="F17" s="2"/>
      <c r="G17" s="3"/>
      <c r="H17" s="3"/>
    </row>
  </sheetData>
  <pageMargins left="0.511811024" right="0.511811024" top="0.78740157499999996" bottom="0.78740157499999996" header="0.31496062000000002" footer="0.31496062000000002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92FD0-15A8-440F-8615-713909D2352B}">
  <dimension ref="A1:F31"/>
  <sheetViews>
    <sheetView workbookViewId="0">
      <selection activeCell="F4" sqref="F4"/>
    </sheetView>
  </sheetViews>
  <sheetFormatPr defaultRowHeight="14.4" x14ac:dyDescent="0.3"/>
  <cols>
    <col min="1" max="1" width="21.5546875" bestFit="1" customWidth="1"/>
    <col min="2" max="2" width="12.88671875" bestFit="1" customWidth="1"/>
    <col min="3" max="3" width="15.6640625" bestFit="1" customWidth="1"/>
    <col min="4" max="4" width="16.5546875" bestFit="1" customWidth="1"/>
    <col min="5" max="5" width="17.88671875" bestFit="1" customWidth="1"/>
    <col min="6" max="6" width="12.88671875" bestFit="1" customWidth="1"/>
  </cols>
  <sheetData>
    <row r="1" spans="1:6" x14ac:dyDescent="0.3">
      <c r="A1" s="7" t="s">
        <v>20</v>
      </c>
      <c r="B1" s="1">
        <v>10000</v>
      </c>
      <c r="C1" t="s">
        <v>26</v>
      </c>
      <c r="E1" t="s">
        <v>30</v>
      </c>
      <c r="F1" s="1">
        <f>SUM(E8:E17)</f>
        <v>10637.083333333332</v>
      </c>
    </row>
    <row r="2" spans="1:6" x14ac:dyDescent="0.3">
      <c r="A2" t="s">
        <v>21</v>
      </c>
      <c r="B2" s="9">
        <f>C2/12</f>
        <v>1.1583333333333334E-2</v>
      </c>
      <c r="C2" s="2">
        <v>0.13900000000000001</v>
      </c>
      <c r="E2" t="s">
        <v>31</v>
      </c>
      <c r="F2" s="1">
        <f>SUM(C22:C31)</f>
        <v>10648.086580760411</v>
      </c>
    </row>
    <row r="3" spans="1:6" x14ac:dyDescent="0.3">
      <c r="A3" t="s">
        <v>22</v>
      </c>
      <c r="B3">
        <v>10</v>
      </c>
    </row>
    <row r="5" spans="1:6" x14ac:dyDescent="0.3">
      <c r="A5" s="11" t="s">
        <v>23</v>
      </c>
      <c r="B5" s="11"/>
      <c r="C5" s="11"/>
      <c r="D5" s="11"/>
      <c r="E5" s="11"/>
    </row>
    <row r="6" spans="1:6" x14ac:dyDescent="0.3">
      <c r="A6" t="s">
        <v>15</v>
      </c>
      <c r="B6" t="s">
        <v>25</v>
      </c>
      <c r="C6" t="s">
        <v>24</v>
      </c>
      <c r="D6" t="s">
        <v>12</v>
      </c>
      <c r="E6" t="s">
        <v>29</v>
      </c>
    </row>
    <row r="7" spans="1:6" x14ac:dyDescent="0.3">
      <c r="A7">
        <v>0</v>
      </c>
      <c r="B7" s="3">
        <f>B1</f>
        <v>10000</v>
      </c>
    </row>
    <row r="8" spans="1:6" x14ac:dyDescent="0.3">
      <c r="A8">
        <v>1</v>
      </c>
      <c r="B8" s="3">
        <f>B7-C8</f>
        <v>9000</v>
      </c>
      <c r="C8" s="3">
        <f>$B$1/$B$3</f>
        <v>1000</v>
      </c>
      <c r="D8" s="3">
        <f>B7*$B$2</f>
        <v>115.83333333333334</v>
      </c>
      <c r="E8" s="3">
        <f>D8+C8</f>
        <v>1115.8333333333333</v>
      </c>
    </row>
    <row r="9" spans="1:6" x14ac:dyDescent="0.3">
      <c r="A9">
        <v>2</v>
      </c>
      <c r="B9" s="3">
        <f t="shared" ref="B9:B15" si="0">B8-C9</f>
        <v>8000</v>
      </c>
      <c r="C9" s="3">
        <f t="shared" ref="C9:C17" si="1">$B$1/$B$3</f>
        <v>1000</v>
      </c>
      <c r="D9" s="3">
        <f t="shared" ref="D9:D15" si="2">B8*$B$2</f>
        <v>104.25000000000001</v>
      </c>
      <c r="E9" s="3">
        <f t="shared" ref="E9:E15" si="3">D9+C9</f>
        <v>1104.25</v>
      </c>
    </row>
    <row r="10" spans="1:6" x14ac:dyDescent="0.3">
      <c r="A10">
        <v>3</v>
      </c>
      <c r="B10" s="3">
        <f t="shared" si="0"/>
        <v>7000</v>
      </c>
      <c r="C10" s="3">
        <f t="shared" si="1"/>
        <v>1000</v>
      </c>
      <c r="D10" s="3">
        <f t="shared" si="2"/>
        <v>92.666666666666671</v>
      </c>
      <c r="E10" s="3">
        <f t="shared" si="3"/>
        <v>1092.6666666666667</v>
      </c>
    </row>
    <row r="11" spans="1:6" x14ac:dyDescent="0.3">
      <c r="A11">
        <v>4</v>
      </c>
      <c r="B11" s="3">
        <f t="shared" si="0"/>
        <v>6000</v>
      </c>
      <c r="C11" s="3">
        <f t="shared" si="1"/>
        <v>1000</v>
      </c>
      <c r="D11" s="3">
        <f t="shared" si="2"/>
        <v>81.083333333333343</v>
      </c>
      <c r="E11" s="3">
        <f t="shared" si="3"/>
        <v>1081.0833333333333</v>
      </c>
    </row>
    <row r="12" spans="1:6" x14ac:dyDescent="0.3">
      <c r="A12">
        <v>5</v>
      </c>
      <c r="B12" s="3">
        <f t="shared" si="0"/>
        <v>5000</v>
      </c>
      <c r="C12" s="3">
        <f t="shared" si="1"/>
        <v>1000</v>
      </c>
      <c r="D12" s="3">
        <f t="shared" si="2"/>
        <v>69.5</v>
      </c>
      <c r="E12" s="3">
        <f t="shared" si="3"/>
        <v>1069.5</v>
      </c>
    </row>
    <row r="13" spans="1:6" x14ac:dyDescent="0.3">
      <c r="A13">
        <v>6</v>
      </c>
      <c r="B13" s="3">
        <f t="shared" si="0"/>
        <v>4000</v>
      </c>
      <c r="C13" s="3">
        <f t="shared" si="1"/>
        <v>1000</v>
      </c>
      <c r="D13" s="3">
        <f t="shared" si="2"/>
        <v>57.916666666666671</v>
      </c>
      <c r="E13" s="3">
        <f t="shared" si="3"/>
        <v>1057.9166666666667</v>
      </c>
    </row>
    <row r="14" spans="1:6" x14ac:dyDescent="0.3">
      <c r="A14">
        <v>7</v>
      </c>
      <c r="B14" s="3">
        <f t="shared" si="0"/>
        <v>3000</v>
      </c>
      <c r="C14" s="3">
        <f t="shared" si="1"/>
        <v>1000</v>
      </c>
      <c r="D14" s="3">
        <f t="shared" si="2"/>
        <v>46.333333333333336</v>
      </c>
      <c r="E14" s="3">
        <f t="shared" si="3"/>
        <v>1046.3333333333333</v>
      </c>
    </row>
    <row r="15" spans="1:6" x14ac:dyDescent="0.3">
      <c r="A15">
        <v>8</v>
      </c>
      <c r="B15" s="3">
        <f t="shared" si="0"/>
        <v>2000</v>
      </c>
      <c r="C15" s="3">
        <f t="shared" si="1"/>
        <v>1000</v>
      </c>
      <c r="D15" s="3">
        <f t="shared" si="2"/>
        <v>34.75</v>
      </c>
      <c r="E15" s="3">
        <f t="shared" si="3"/>
        <v>1034.75</v>
      </c>
    </row>
    <row r="16" spans="1:6" x14ac:dyDescent="0.3">
      <c r="A16">
        <v>9</v>
      </c>
      <c r="B16" s="3">
        <f t="shared" ref="B16:B17" si="4">B15-C16</f>
        <v>1000</v>
      </c>
      <c r="C16" s="3">
        <f t="shared" si="1"/>
        <v>1000</v>
      </c>
      <c r="D16" s="3">
        <f t="shared" ref="D16:D17" si="5">B15*$B$2</f>
        <v>23.166666666666668</v>
      </c>
      <c r="E16" s="3">
        <f t="shared" ref="E16:E17" si="6">D16+C16</f>
        <v>1023.1666666666666</v>
      </c>
    </row>
    <row r="17" spans="1:5" x14ac:dyDescent="0.3">
      <c r="A17">
        <v>10</v>
      </c>
      <c r="B17" s="3">
        <f t="shared" si="4"/>
        <v>0</v>
      </c>
      <c r="C17" s="3">
        <f t="shared" si="1"/>
        <v>1000</v>
      </c>
      <c r="D17" s="3">
        <f t="shared" si="5"/>
        <v>11.583333333333334</v>
      </c>
      <c r="E17" s="3">
        <f t="shared" si="6"/>
        <v>1011.5833333333334</v>
      </c>
    </row>
    <row r="19" spans="1:5" x14ac:dyDescent="0.3">
      <c r="A19" s="11" t="s">
        <v>27</v>
      </c>
      <c r="B19" s="11"/>
      <c r="C19" s="11"/>
      <c r="D19" s="11"/>
      <c r="E19" s="11"/>
    </row>
    <row r="20" spans="1:5" x14ac:dyDescent="0.3">
      <c r="A20" t="s">
        <v>15</v>
      </c>
      <c r="B20" t="s">
        <v>25</v>
      </c>
      <c r="C20" t="s">
        <v>28</v>
      </c>
      <c r="D20" t="s">
        <v>12</v>
      </c>
      <c r="E20" t="s">
        <v>24</v>
      </c>
    </row>
    <row r="21" spans="1:5" x14ac:dyDescent="0.3">
      <c r="A21">
        <v>0</v>
      </c>
      <c r="B21" s="3">
        <f>B1</f>
        <v>10000</v>
      </c>
      <c r="D21" s="3"/>
    </row>
    <row r="22" spans="1:5" x14ac:dyDescent="0.3">
      <c r="A22">
        <v>1</v>
      </c>
      <c r="B22" s="3">
        <f>B21-E22</f>
        <v>9051.0246752572912</v>
      </c>
      <c r="C22" s="13">
        <f>PMT($B$2, $B$3, -$B$1)</f>
        <v>1064.8086580760414</v>
      </c>
      <c r="D22" s="3">
        <f>B21*$B$2</f>
        <v>115.83333333333334</v>
      </c>
      <c r="E22" s="13">
        <f>C22-D22</f>
        <v>948.97532474270804</v>
      </c>
    </row>
    <row r="23" spans="1:5" x14ac:dyDescent="0.3">
      <c r="A23">
        <v>2</v>
      </c>
      <c r="B23" s="3">
        <f t="shared" ref="B23:B31" si="7">B22-E23</f>
        <v>8091.05705300298</v>
      </c>
      <c r="C23" s="13">
        <f t="shared" ref="C23:C31" si="8">PMT($B$2, $B$3, -$B$1)</f>
        <v>1064.8086580760414</v>
      </c>
      <c r="D23" s="3">
        <f t="shared" ref="D23:D31" si="9">B22*$B$2</f>
        <v>104.8410358217303</v>
      </c>
      <c r="E23" s="13">
        <f t="shared" ref="E23:E31" si="10">C23-D23</f>
        <v>959.9676222543111</v>
      </c>
    </row>
    <row r="24" spans="1:5" x14ac:dyDescent="0.3">
      <c r="A24">
        <v>3</v>
      </c>
      <c r="B24" s="3">
        <f t="shared" si="7"/>
        <v>7119.96980579089</v>
      </c>
      <c r="C24" s="13">
        <f t="shared" si="8"/>
        <v>1064.8086580760414</v>
      </c>
      <c r="D24" s="3">
        <f t="shared" si="9"/>
        <v>93.721410863951192</v>
      </c>
      <c r="E24" s="13">
        <f t="shared" si="10"/>
        <v>971.08724721209023</v>
      </c>
    </row>
    <row r="25" spans="1:5" x14ac:dyDescent="0.3">
      <c r="A25">
        <v>4</v>
      </c>
      <c r="B25" s="3">
        <f t="shared" si="7"/>
        <v>6137.6341312985933</v>
      </c>
      <c r="C25" s="13">
        <f t="shared" si="8"/>
        <v>1064.8086580760414</v>
      </c>
      <c r="D25" s="3">
        <f t="shared" si="9"/>
        <v>82.47298358374448</v>
      </c>
      <c r="E25" s="13">
        <f t="shared" si="10"/>
        <v>982.3356744922969</v>
      </c>
    </row>
    <row r="26" spans="1:5" x14ac:dyDescent="0.3">
      <c r="A26">
        <v>5</v>
      </c>
      <c r="B26" s="3">
        <f t="shared" si="7"/>
        <v>5143.9197352434276</v>
      </c>
      <c r="C26" s="13">
        <f t="shared" si="8"/>
        <v>1064.8086580760414</v>
      </c>
      <c r="D26" s="3">
        <f t="shared" si="9"/>
        <v>71.094262020875377</v>
      </c>
      <c r="E26" s="13">
        <f t="shared" si="10"/>
        <v>993.71439605516605</v>
      </c>
    </row>
    <row r="27" spans="1:5" x14ac:dyDescent="0.3">
      <c r="A27">
        <v>6</v>
      </c>
      <c r="B27" s="3">
        <f t="shared" si="7"/>
        <v>4138.6948141006224</v>
      </c>
      <c r="C27" s="13">
        <f t="shared" si="8"/>
        <v>1064.8086580760414</v>
      </c>
      <c r="D27" s="3">
        <f t="shared" si="9"/>
        <v>59.583736933236374</v>
      </c>
      <c r="E27" s="13">
        <f t="shared" si="10"/>
        <v>1005.224921142805</v>
      </c>
    </row>
    <row r="28" spans="1:5" x14ac:dyDescent="0.3">
      <c r="A28">
        <v>7</v>
      </c>
      <c r="B28" s="3">
        <f t="shared" si="7"/>
        <v>3121.8260376212465</v>
      </c>
      <c r="C28" s="13">
        <f t="shared" si="8"/>
        <v>1064.8086580760414</v>
      </c>
      <c r="D28" s="3">
        <f t="shared" si="9"/>
        <v>47.939881596665543</v>
      </c>
      <c r="E28" s="13">
        <f t="shared" si="10"/>
        <v>1016.8687764793758</v>
      </c>
    </row>
    <row r="29" spans="1:5" x14ac:dyDescent="0.3">
      <c r="A29">
        <v>8</v>
      </c>
      <c r="B29" s="3">
        <f t="shared" si="7"/>
        <v>2093.1785311476515</v>
      </c>
      <c r="C29" s="13">
        <f t="shared" si="8"/>
        <v>1064.8086580760414</v>
      </c>
      <c r="D29" s="3">
        <f t="shared" si="9"/>
        <v>36.161151602446111</v>
      </c>
      <c r="E29" s="13">
        <f t="shared" si="10"/>
        <v>1028.6475064735953</v>
      </c>
    </row>
    <row r="30" spans="1:5" x14ac:dyDescent="0.3">
      <c r="A30">
        <v>9</v>
      </c>
      <c r="B30" s="3">
        <f t="shared" si="7"/>
        <v>1052.6158577240703</v>
      </c>
      <c r="C30" s="13">
        <f t="shared" si="8"/>
        <v>1064.8086580760414</v>
      </c>
      <c r="D30" s="3">
        <f t="shared" si="9"/>
        <v>24.245984652460297</v>
      </c>
      <c r="E30" s="13">
        <f t="shared" si="10"/>
        <v>1040.5626734235811</v>
      </c>
    </row>
    <row r="31" spans="1:5" x14ac:dyDescent="0.3">
      <c r="A31">
        <v>10</v>
      </c>
      <c r="B31" s="3">
        <f t="shared" si="7"/>
        <v>0</v>
      </c>
      <c r="C31" s="13">
        <f t="shared" si="8"/>
        <v>1064.8086580760414</v>
      </c>
      <c r="D31" s="3">
        <f t="shared" si="9"/>
        <v>12.192800351970483</v>
      </c>
      <c r="E31" s="13">
        <f t="shared" si="10"/>
        <v>1052.615857724071</v>
      </c>
    </row>
  </sheetData>
  <mergeCells count="2">
    <mergeCell ref="A5:E5"/>
    <mergeCell ref="A19:E19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64F17-979E-42C4-8727-53CEADFEB26E}">
  <dimension ref="A1:K432"/>
  <sheetViews>
    <sheetView workbookViewId="0">
      <selection activeCell="F13" sqref="F13"/>
    </sheetView>
  </sheetViews>
  <sheetFormatPr defaultRowHeight="14.4" x14ac:dyDescent="0.3"/>
  <cols>
    <col min="1" max="1" width="21.5546875" bestFit="1" customWidth="1"/>
    <col min="2" max="2" width="14" bestFit="1" customWidth="1"/>
    <col min="3" max="3" width="11.109375" bestFit="1" customWidth="1"/>
    <col min="4" max="4" width="10.33203125" bestFit="1" customWidth="1"/>
    <col min="5" max="5" width="17.88671875" bestFit="1" customWidth="1"/>
    <col min="6" max="6" width="16.5546875" customWidth="1"/>
    <col min="7" max="7" width="4.33203125" bestFit="1" customWidth="1"/>
    <col min="8" max="8" width="14" bestFit="1" customWidth="1"/>
    <col min="9" max="9" width="15.6640625" bestFit="1" customWidth="1"/>
    <col min="10" max="10" width="10.33203125" bestFit="1" customWidth="1"/>
    <col min="11" max="11" width="11.109375" bestFit="1" customWidth="1"/>
  </cols>
  <sheetData>
    <row r="1" spans="1:11" x14ac:dyDescent="0.3">
      <c r="A1" t="s">
        <v>19</v>
      </c>
    </row>
    <row r="2" spans="1:11" x14ac:dyDescent="0.3">
      <c r="A2" s="7" t="s">
        <v>20</v>
      </c>
      <c r="B2" s="1">
        <v>120000</v>
      </c>
      <c r="C2" t="s">
        <v>26</v>
      </c>
    </row>
    <row r="3" spans="1:11" x14ac:dyDescent="0.3">
      <c r="A3" t="s">
        <v>21</v>
      </c>
      <c r="B3" s="9">
        <f>C3/12</f>
        <v>6.6666666666666671E-3</v>
      </c>
      <c r="C3" s="8">
        <v>0.08</v>
      </c>
    </row>
    <row r="4" spans="1:11" x14ac:dyDescent="0.3">
      <c r="A4" t="s">
        <v>22</v>
      </c>
      <c r="B4">
        <v>420</v>
      </c>
    </row>
    <row r="6" spans="1:11" x14ac:dyDescent="0.3">
      <c r="A6" s="12" t="s">
        <v>23</v>
      </c>
      <c r="B6" s="12"/>
      <c r="C6" s="12"/>
      <c r="D6" s="12"/>
      <c r="E6" s="12"/>
      <c r="F6" s="10"/>
      <c r="G6" s="12" t="s">
        <v>27</v>
      </c>
      <c r="H6" s="12"/>
      <c r="I6" s="12"/>
      <c r="J6" s="12"/>
      <c r="K6" s="12"/>
    </row>
    <row r="7" spans="1:11" x14ac:dyDescent="0.3">
      <c r="A7" t="s">
        <v>15</v>
      </c>
      <c r="B7" t="s">
        <v>25</v>
      </c>
      <c r="C7" t="s">
        <v>24</v>
      </c>
      <c r="D7" t="s">
        <v>12</v>
      </c>
      <c r="E7" t="s">
        <v>29</v>
      </c>
      <c r="G7" t="s">
        <v>15</v>
      </c>
      <c r="H7" t="s">
        <v>25</v>
      </c>
      <c r="I7" t="s">
        <v>28</v>
      </c>
      <c r="J7" t="s">
        <v>12</v>
      </c>
      <c r="K7" t="s">
        <v>24</v>
      </c>
    </row>
    <row r="8" spans="1:11" x14ac:dyDescent="0.3">
      <c r="A8">
        <v>0</v>
      </c>
      <c r="B8" s="3">
        <f>B2</f>
        <v>120000</v>
      </c>
      <c r="G8">
        <v>0</v>
      </c>
      <c r="H8" s="3">
        <f>$B$2</f>
        <v>120000</v>
      </c>
      <c r="J8" s="3"/>
    </row>
    <row r="9" spans="1:11" x14ac:dyDescent="0.3">
      <c r="A9">
        <v>1</v>
      </c>
      <c r="B9" s="3">
        <f>B8-C9</f>
        <v>119714.28571428571</v>
      </c>
      <c r="C9" s="3">
        <f>$B$2/$B$4</f>
        <v>285.71428571428572</v>
      </c>
      <c r="D9" s="3">
        <f>B8*$B$3</f>
        <v>800</v>
      </c>
      <c r="E9" s="3">
        <f>D9+C9</f>
        <v>1085.7142857142858</v>
      </c>
      <c r="F9" s="3"/>
      <c r="G9">
        <v>1</v>
      </c>
      <c r="H9" s="3">
        <f>H8-K9</f>
        <v>119947.68694525446</v>
      </c>
      <c r="I9" s="13">
        <f>PMT($B$3, $B$4, -$B$2)</f>
        <v>852.31305474553244</v>
      </c>
      <c r="J9" s="3">
        <f>H8*$B$3</f>
        <v>800</v>
      </c>
      <c r="K9" s="13">
        <f>I9-J9</f>
        <v>52.31305474553244</v>
      </c>
    </row>
    <row r="10" spans="1:11" x14ac:dyDescent="0.3">
      <c r="A10">
        <v>2</v>
      </c>
      <c r="B10" s="3">
        <f t="shared" ref="B10:B16" si="0">B9-C10</f>
        <v>119428.57142857142</v>
      </c>
      <c r="C10" s="3">
        <f t="shared" ref="C10:C73" si="1">$B$2/$B$4</f>
        <v>285.71428571428572</v>
      </c>
      <c r="D10" s="3">
        <f t="shared" ref="D10:D16" si="2">B9*$B$3</f>
        <v>798.09523809523807</v>
      </c>
      <c r="E10" s="3">
        <f t="shared" ref="E10:E16" si="3">D10+C10</f>
        <v>1083.8095238095239</v>
      </c>
      <c r="F10" s="3"/>
      <c r="G10">
        <v>2</v>
      </c>
      <c r="H10" s="3">
        <f t="shared" ref="H10:H73" si="4">H9-K10</f>
        <v>119895.02513681063</v>
      </c>
      <c r="I10" s="13">
        <f t="shared" ref="I10:I73" si="5">PMT($B$3, $B$4, -$B$2)</f>
        <v>852.31305474553244</v>
      </c>
      <c r="J10" s="3">
        <f t="shared" ref="J10:J73" si="6">H9*$B$3</f>
        <v>799.65124630169646</v>
      </c>
      <c r="K10" s="13">
        <f t="shared" ref="K10:K73" si="7">I10-J10</f>
        <v>52.66180844383598</v>
      </c>
    </row>
    <row r="11" spans="1:11" x14ac:dyDescent="0.3">
      <c r="A11">
        <v>3</v>
      </c>
      <c r="B11" s="3">
        <f t="shared" si="0"/>
        <v>119142.85714285713</v>
      </c>
      <c r="C11" s="3">
        <f t="shared" si="1"/>
        <v>285.71428571428572</v>
      </c>
      <c r="D11" s="3">
        <f t="shared" si="2"/>
        <v>796.19047619047615</v>
      </c>
      <c r="E11" s="3">
        <f t="shared" si="3"/>
        <v>1081.9047619047619</v>
      </c>
      <c r="F11" s="3"/>
      <c r="G11">
        <v>3</v>
      </c>
      <c r="H11" s="3">
        <f t="shared" si="4"/>
        <v>119842.01224964383</v>
      </c>
      <c r="I11" s="13">
        <f t="shared" si="5"/>
        <v>852.31305474553244</v>
      </c>
      <c r="J11" s="3">
        <f t="shared" si="6"/>
        <v>799.3001675787375</v>
      </c>
      <c r="K11" s="13">
        <f t="shared" si="7"/>
        <v>53.01288716679494</v>
      </c>
    </row>
    <row r="12" spans="1:11" x14ac:dyDescent="0.3">
      <c r="A12">
        <v>4</v>
      </c>
      <c r="B12" s="3">
        <f t="shared" si="0"/>
        <v>118857.14285714284</v>
      </c>
      <c r="C12" s="3">
        <f t="shared" si="1"/>
        <v>285.71428571428572</v>
      </c>
      <c r="D12" s="3">
        <f t="shared" si="2"/>
        <v>794.28571428571422</v>
      </c>
      <c r="E12" s="3">
        <f t="shared" si="3"/>
        <v>1080</v>
      </c>
      <c r="F12" s="3"/>
      <c r="G12">
        <v>4</v>
      </c>
      <c r="H12" s="3">
        <f t="shared" si="4"/>
        <v>119788.64594322925</v>
      </c>
      <c r="I12" s="13">
        <f t="shared" si="5"/>
        <v>852.31305474553244</v>
      </c>
      <c r="J12" s="3">
        <f t="shared" si="6"/>
        <v>798.94674833095894</v>
      </c>
      <c r="K12" s="13">
        <f t="shared" si="7"/>
        <v>53.366306414573501</v>
      </c>
    </row>
    <row r="13" spans="1:11" x14ac:dyDescent="0.3">
      <c r="A13">
        <v>5</v>
      </c>
      <c r="B13" s="3">
        <f t="shared" si="0"/>
        <v>118571.42857142855</v>
      </c>
      <c r="C13" s="3">
        <f t="shared" si="1"/>
        <v>285.71428571428572</v>
      </c>
      <c r="D13" s="3">
        <f t="shared" si="2"/>
        <v>792.38095238095229</v>
      </c>
      <c r="E13" s="3">
        <f t="shared" si="3"/>
        <v>1078.0952380952381</v>
      </c>
      <c r="F13" s="3"/>
      <c r="G13">
        <v>5</v>
      </c>
      <c r="H13" s="3">
        <f t="shared" si="4"/>
        <v>119734.92386143858</v>
      </c>
      <c r="I13" s="13">
        <f t="shared" si="5"/>
        <v>852.31305474553244</v>
      </c>
      <c r="J13" s="3">
        <f t="shared" si="6"/>
        <v>798.59097295486174</v>
      </c>
      <c r="K13" s="13">
        <f t="shared" si="7"/>
        <v>53.7220817906707</v>
      </c>
    </row>
    <row r="14" spans="1:11" x14ac:dyDescent="0.3">
      <c r="A14">
        <v>6</v>
      </c>
      <c r="B14" s="3">
        <f t="shared" si="0"/>
        <v>118285.71428571426</v>
      </c>
      <c r="C14" s="3">
        <f t="shared" si="1"/>
        <v>285.71428571428572</v>
      </c>
      <c r="D14" s="3">
        <f t="shared" si="2"/>
        <v>790.47619047619037</v>
      </c>
      <c r="E14" s="3">
        <f t="shared" si="3"/>
        <v>1076.1904761904761</v>
      </c>
      <c r="F14" s="3"/>
      <c r="G14">
        <v>6</v>
      </c>
      <c r="H14" s="3">
        <f t="shared" si="4"/>
        <v>119680.84363243598</v>
      </c>
      <c r="I14" s="13">
        <f t="shared" si="5"/>
        <v>852.31305474553244</v>
      </c>
      <c r="J14" s="3">
        <f t="shared" si="6"/>
        <v>798.23282574292398</v>
      </c>
      <c r="K14" s="13">
        <f t="shared" si="7"/>
        <v>54.080229002608462</v>
      </c>
    </row>
    <row r="15" spans="1:11" x14ac:dyDescent="0.3">
      <c r="A15">
        <v>7</v>
      </c>
      <c r="B15" s="3">
        <f t="shared" si="0"/>
        <v>117999.99999999997</v>
      </c>
      <c r="C15" s="3">
        <f t="shared" si="1"/>
        <v>285.71428571428572</v>
      </c>
      <c r="D15" s="3">
        <f t="shared" si="2"/>
        <v>788.57142857142844</v>
      </c>
      <c r="E15" s="3">
        <f t="shared" si="3"/>
        <v>1074.2857142857142</v>
      </c>
      <c r="F15" s="3"/>
      <c r="G15">
        <v>7</v>
      </c>
      <c r="H15" s="3">
        <f t="shared" si="4"/>
        <v>119626.40286857335</v>
      </c>
      <c r="I15" s="13">
        <f t="shared" si="5"/>
        <v>852.31305474553244</v>
      </c>
      <c r="J15" s="3">
        <f t="shared" si="6"/>
        <v>797.87229088290655</v>
      </c>
      <c r="K15" s="13">
        <f t="shared" si="7"/>
        <v>54.440763862625886</v>
      </c>
    </row>
    <row r="16" spans="1:11" x14ac:dyDescent="0.3">
      <c r="A16">
        <v>8</v>
      </c>
      <c r="B16" s="3">
        <f t="shared" si="0"/>
        <v>117714.28571428568</v>
      </c>
      <c r="C16" s="3">
        <f t="shared" si="1"/>
        <v>285.71428571428572</v>
      </c>
      <c r="D16" s="3">
        <f t="shared" si="2"/>
        <v>786.66666666666652</v>
      </c>
      <c r="E16" s="3">
        <f t="shared" si="3"/>
        <v>1072.3809523809523</v>
      </c>
      <c r="F16" s="3"/>
      <c r="G16">
        <v>8</v>
      </c>
      <c r="H16" s="3">
        <f t="shared" si="4"/>
        <v>119571.59916628497</v>
      </c>
      <c r="I16" s="13">
        <f t="shared" si="5"/>
        <v>852.31305474553244</v>
      </c>
      <c r="J16" s="3">
        <f t="shared" si="6"/>
        <v>797.50935245715573</v>
      </c>
      <c r="K16" s="13">
        <f t="shared" si="7"/>
        <v>54.803702288376712</v>
      </c>
    </row>
    <row r="17" spans="1:11" x14ac:dyDescent="0.3">
      <c r="A17">
        <v>9</v>
      </c>
      <c r="B17" s="3">
        <f t="shared" ref="B17:B80" si="8">B16-C17</f>
        <v>117428.57142857139</v>
      </c>
      <c r="C17" s="3">
        <f t="shared" si="1"/>
        <v>285.71428571428572</v>
      </c>
      <c r="D17" s="3">
        <f t="shared" ref="D17:D80" si="9">B16*$B$3</f>
        <v>784.76190476190459</v>
      </c>
      <c r="E17" s="3">
        <f t="shared" ref="E17:E80" si="10">D17+C17</f>
        <v>1070.4761904761904</v>
      </c>
      <c r="F17" s="3"/>
      <c r="G17">
        <v>9</v>
      </c>
      <c r="H17" s="3">
        <f t="shared" si="4"/>
        <v>119516.43010598134</v>
      </c>
      <c r="I17" s="13">
        <f t="shared" si="5"/>
        <v>852.31305474553244</v>
      </c>
      <c r="J17" s="3">
        <f t="shared" si="6"/>
        <v>797.14399444189985</v>
      </c>
      <c r="K17" s="13">
        <f t="shared" si="7"/>
        <v>55.169060303632591</v>
      </c>
    </row>
    <row r="18" spans="1:11" x14ac:dyDescent="0.3">
      <c r="A18">
        <v>10</v>
      </c>
      <c r="B18" s="3">
        <f t="shared" si="8"/>
        <v>117142.8571428571</v>
      </c>
      <c r="C18" s="3">
        <f t="shared" si="1"/>
        <v>285.71428571428572</v>
      </c>
      <c r="D18" s="3">
        <f t="shared" si="9"/>
        <v>782.85714285714266</v>
      </c>
      <c r="E18" s="3">
        <f t="shared" si="10"/>
        <v>1068.5714285714284</v>
      </c>
      <c r="F18" s="3"/>
      <c r="G18">
        <v>10</v>
      </c>
      <c r="H18" s="3">
        <f t="shared" si="4"/>
        <v>119460.89325194235</v>
      </c>
      <c r="I18" s="13">
        <f t="shared" si="5"/>
        <v>852.31305474553244</v>
      </c>
      <c r="J18" s="3">
        <f t="shared" si="6"/>
        <v>796.77620070654234</v>
      </c>
      <c r="K18" s="13">
        <f t="shared" si="7"/>
        <v>55.5368540389901</v>
      </c>
    </row>
    <row r="19" spans="1:11" x14ac:dyDescent="0.3">
      <c r="A19">
        <v>11</v>
      </c>
      <c r="B19" s="3">
        <f t="shared" si="8"/>
        <v>116857.14285714281</v>
      </c>
      <c r="C19" s="3">
        <f t="shared" si="1"/>
        <v>285.71428571428572</v>
      </c>
      <c r="D19" s="3">
        <f t="shared" si="9"/>
        <v>780.95238095238074</v>
      </c>
      <c r="E19" s="3">
        <f t="shared" si="10"/>
        <v>1066.6666666666665</v>
      </c>
      <c r="F19" s="3"/>
      <c r="G19">
        <v>11</v>
      </c>
      <c r="H19" s="3">
        <f t="shared" si="4"/>
        <v>119404.98615220978</v>
      </c>
      <c r="I19" s="13">
        <f t="shared" si="5"/>
        <v>852.31305474553244</v>
      </c>
      <c r="J19" s="3">
        <f t="shared" si="6"/>
        <v>796.40595501294911</v>
      </c>
      <c r="K19" s="13">
        <f t="shared" si="7"/>
        <v>55.907099732583333</v>
      </c>
    </row>
    <row r="20" spans="1:11" x14ac:dyDescent="0.3">
      <c r="A20">
        <v>12</v>
      </c>
      <c r="B20" s="3">
        <f t="shared" si="8"/>
        <v>116571.42857142852</v>
      </c>
      <c r="C20" s="3">
        <f t="shared" si="1"/>
        <v>285.71428571428572</v>
      </c>
      <c r="D20" s="3">
        <f t="shared" si="9"/>
        <v>779.04761904761881</v>
      </c>
      <c r="E20" s="3">
        <f t="shared" si="10"/>
        <v>1064.7619047619046</v>
      </c>
      <c r="F20" s="3"/>
      <c r="G20">
        <v>12</v>
      </c>
      <c r="H20" s="3">
        <f t="shared" si="4"/>
        <v>119348.70633847898</v>
      </c>
      <c r="I20" s="13">
        <f t="shared" si="5"/>
        <v>852.31305474553244</v>
      </c>
      <c r="J20" s="3">
        <f t="shared" si="6"/>
        <v>796.03324101473186</v>
      </c>
      <c r="K20" s="13">
        <f t="shared" si="7"/>
        <v>56.279813730800583</v>
      </c>
    </row>
    <row r="21" spans="1:11" x14ac:dyDescent="0.3">
      <c r="A21">
        <v>13</v>
      </c>
      <c r="B21" s="3">
        <f t="shared" si="8"/>
        <v>116285.71428571423</v>
      </c>
      <c r="C21" s="3">
        <f t="shared" si="1"/>
        <v>285.71428571428572</v>
      </c>
      <c r="D21" s="3">
        <f t="shared" si="9"/>
        <v>777.14285714285688</v>
      </c>
      <c r="E21" s="3">
        <f t="shared" si="10"/>
        <v>1062.8571428571427</v>
      </c>
      <c r="F21" s="3"/>
      <c r="G21">
        <v>13</v>
      </c>
      <c r="H21" s="3">
        <f t="shared" si="4"/>
        <v>119292.05132598997</v>
      </c>
      <c r="I21" s="13">
        <f t="shared" si="5"/>
        <v>852.31305474553244</v>
      </c>
      <c r="J21" s="3">
        <f t="shared" si="6"/>
        <v>795.65804225652653</v>
      </c>
      <c r="K21" s="13">
        <f t="shared" si="7"/>
        <v>56.655012489005912</v>
      </c>
    </row>
    <row r="22" spans="1:11" x14ac:dyDescent="0.3">
      <c r="A22">
        <v>14</v>
      </c>
      <c r="B22" s="3">
        <f t="shared" si="8"/>
        <v>115999.99999999994</v>
      </c>
      <c r="C22" s="3">
        <f t="shared" si="1"/>
        <v>285.71428571428572</v>
      </c>
      <c r="D22" s="3">
        <f t="shared" si="9"/>
        <v>775.23809523809496</v>
      </c>
      <c r="E22" s="3">
        <f t="shared" si="10"/>
        <v>1060.9523809523807</v>
      </c>
      <c r="F22" s="3"/>
      <c r="G22">
        <v>14</v>
      </c>
      <c r="H22" s="3">
        <f t="shared" si="4"/>
        <v>119235.01861341771</v>
      </c>
      <c r="I22" s="13">
        <f t="shared" si="5"/>
        <v>852.31305474553244</v>
      </c>
      <c r="J22" s="3">
        <f t="shared" si="6"/>
        <v>795.2803421732666</v>
      </c>
      <c r="K22" s="13">
        <f t="shared" si="7"/>
        <v>57.032712572265837</v>
      </c>
    </row>
    <row r="23" spans="1:11" x14ac:dyDescent="0.3">
      <c r="A23">
        <v>15</v>
      </c>
      <c r="B23" s="3">
        <f t="shared" si="8"/>
        <v>115714.28571428565</v>
      </c>
      <c r="C23" s="3">
        <f t="shared" si="1"/>
        <v>285.71428571428572</v>
      </c>
      <c r="D23" s="3">
        <f t="shared" si="9"/>
        <v>773.33333333333303</v>
      </c>
      <c r="E23" s="3">
        <f t="shared" si="10"/>
        <v>1059.0476190476188</v>
      </c>
      <c r="F23" s="3"/>
      <c r="G23">
        <v>15</v>
      </c>
      <c r="H23" s="3">
        <f t="shared" si="4"/>
        <v>119177.60568276163</v>
      </c>
      <c r="I23" s="13">
        <f t="shared" si="5"/>
        <v>852.31305474553244</v>
      </c>
      <c r="J23" s="3">
        <f t="shared" si="6"/>
        <v>794.90012408945142</v>
      </c>
      <c r="K23" s="13">
        <f t="shared" si="7"/>
        <v>57.412930656081016</v>
      </c>
    </row>
    <row r="24" spans="1:11" x14ac:dyDescent="0.3">
      <c r="A24">
        <v>16</v>
      </c>
      <c r="B24" s="3">
        <f t="shared" si="8"/>
        <v>115428.57142857136</v>
      </c>
      <c r="C24" s="3">
        <f t="shared" si="1"/>
        <v>285.71428571428572</v>
      </c>
      <c r="D24" s="3">
        <f t="shared" si="9"/>
        <v>771.4285714285711</v>
      </c>
      <c r="E24" s="3">
        <f t="shared" si="10"/>
        <v>1057.1428571428569</v>
      </c>
      <c r="F24" s="3"/>
      <c r="G24">
        <v>16</v>
      </c>
      <c r="H24" s="3">
        <f t="shared" si="4"/>
        <v>119119.80999923451</v>
      </c>
      <c r="I24" s="13">
        <f t="shared" si="5"/>
        <v>852.31305474553244</v>
      </c>
      <c r="J24" s="3">
        <f t="shared" si="6"/>
        <v>794.51737121841086</v>
      </c>
      <c r="K24" s="13">
        <f t="shared" si="7"/>
        <v>57.795683527121582</v>
      </c>
    </row>
    <row r="25" spans="1:11" x14ac:dyDescent="0.3">
      <c r="A25">
        <v>17</v>
      </c>
      <c r="B25" s="3">
        <f t="shared" si="8"/>
        <v>115142.85714285707</v>
      </c>
      <c r="C25" s="3">
        <f t="shared" si="1"/>
        <v>285.71428571428572</v>
      </c>
      <c r="D25" s="3">
        <f t="shared" si="9"/>
        <v>769.52380952380918</v>
      </c>
      <c r="E25" s="3">
        <f t="shared" si="10"/>
        <v>1055.238095238095</v>
      </c>
      <c r="F25" s="3"/>
      <c r="G25">
        <v>17</v>
      </c>
      <c r="H25" s="3">
        <f t="shared" si="4"/>
        <v>119061.62901115054</v>
      </c>
      <c r="I25" s="13">
        <f t="shared" si="5"/>
        <v>852.31305474553244</v>
      </c>
      <c r="J25" s="3">
        <f t="shared" si="6"/>
        <v>794.1320666615635</v>
      </c>
      <c r="K25" s="13">
        <f t="shared" si="7"/>
        <v>58.180988083968941</v>
      </c>
    </row>
    <row r="26" spans="1:11" x14ac:dyDescent="0.3">
      <c r="A26">
        <v>18</v>
      </c>
      <c r="B26" s="3">
        <f t="shared" si="8"/>
        <v>114857.14285714278</v>
      </c>
      <c r="C26" s="3">
        <f t="shared" si="1"/>
        <v>285.71428571428572</v>
      </c>
      <c r="D26" s="3">
        <f t="shared" si="9"/>
        <v>767.61904761904725</v>
      </c>
      <c r="E26" s="3">
        <f t="shared" si="10"/>
        <v>1053.333333333333</v>
      </c>
      <c r="F26" s="3"/>
      <c r="G26">
        <v>18</v>
      </c>
      <c r="H26" s="3">
        <f t="shared" si="4"/>
        <v>119003.06014981268</v>
      </c>
      <c r="I26" s="13">
        <f t="shared" si="5"/>
        <v>852.31305474553244</v>
      </c>
      <c r="J26" s="3">
        <f t="shared" si="6"/>
        <v>793.74419340767031</v>
      </c>
      <c r="K26" s="13">
        <f t="shared" si="7"/>
        <v>58.568861337862131</v>
      </c>
    </row>
    <row r="27" spans="1:11" x14ac:dyDescent="0.3">
      <c r="A27">
        <v>19</v>
      </c>
      <c r="B27" s="3">
        <f t="shared" si="8"/>
        <v>114571.42857142849</v>
      </c>
      <c r="C27" s="3">
        <f t="shared" si="1"/>
        <v>285.71428571428572</v>
      </c>
      <c r="D27" s="3">
        <f t="shared" si="9"/>
        <v>765.71428571428521</v>
      </c>
      <c r="E27" s="3">
        <f t="shared" si="10"/>
        <v>1051.4285714285709</v>
      </c>
      <c r="F27" s="3"/>
      <c r="G27">
        <v>19</v>
      </c>
      <c r="H27" s="3">
        <f t="shared" si="4"/>
        <v>118944.10082939923</v>
      </c>
      <c r="I27" s="13">
        <f t="shared" si="5"/>
        <v>852.31305474553244</v>
      </c>
      <c r="J27" s="3">
        <f t="shared" si="6"/>
        <v>793.35373433208463</v>
      </c>
      <c r="K27" s="13">
        <f t="shared" si="7"/>
        <v>58.959320413447813</v>
      </c>
    </row>
    <row r="28" spans="1:11" x14ac:dyDescent="0.3">
      <c r="A28">
        <v>20</v>
      </c>
      <c r="B28" s="3">
        <f t="shared" si="8"/>
        <v>114285.7142857142</v>
      </c>
      <c r="C28" s="3">
        <f t="shared" si="1"/>
        <v>285.71428571428572</v>
      </c>
      <c r="D28" s="3">
        <f t="shared" si="9"/>
        <v>763.80952380952328</v>
      </c>
      <c r="E28" s="3">
        <f t="shared" si="10"/>
        <v>1049.5238095238089</v>
      </c>
      <c r="F28" s="3"/>
      <c r="G28">
        <v>20</v>
      </c>
      <c r="H28" s="3">
        <f t="shared" si="4"/>
        <v>118884.7484468497</v>
      </c>
      <c r="I28" s="13">
        <f t="shared" si="5"/>
        <v>852.31305474553244</v>
      </c>
      <c r="J28" s="3">
        <f t="shared" si="6"/>
        <v>792.9606721959949</v>
      </c>
      <c r="K28" s="13">
        <f t="shared" si="7"/>
        <v>59.352382549537538</v>
      </c>
    </row>
    <row r="29" spans="1:11" x14ac:dyDescent="0.3">
      <c r="A29">
        <v>21</v>
      </c>
      <c r="B29" s="3">
        <f t="shared" si="8"/>
        <v>113999.99999999991</v>
      </c>
      <c r="C29" s="3">
        <f t="shared" si="1"/>
        <v>285.71428571428572</v>
      </c>
      <c r="D29" s="3">
        <f t="shared" si="9"/>
        <v>761.90476190476136</v>
      </c>
      <c r="E29" s="3">
        <f t="shared" si="10"/>
        <v>1047.619047619047</v>
      </c>
      <c r="F29" s="3"/>
      <c r="G29">
        <v>21</v>
      </c>
      <c r="H29" s="3">
        <f t="shared" si="4"/>
        <v>118825.00038174984</v>
      </c>
      <c r="I29" s="13">
        <f t="shared" si="5"/>
        <v>852.31305474553244</v>
      </c>
      <c r="J29" s="3">
        <f t="shared" si="6"/>
        <v>792.5649896456647</v>
      </c>
      <c r="K29" s="13">
        <f t="shared" si="7"/>
        <v>59.748065099867745</v>
      </c>
    </row>
    <row r="30" spans="1:11" x14ac:dyDescent="0.3">
      <c r="A30">
        <v>22</v>
      </c>
      <c r="B30" s="3">
        <f t="shared" si="8"/>
        <v>113714.28571428562</v>
      </c>
      <c r="C30" s="3">
        <f t="shared" si="1"/>
        <v>285.71428571428572</v>
      </c>
      <c r="D30" s="3">
        <f t="shared" si="9"/>
        <v>759.99999999999943</v>
      </c>
      <c r="E30" s="3">
        <f t="shared" si="10"/>
        <v>1045.7142857142851</v>
      </c>
      <c r="F30" s="3"/>
      <c r="G30">
        <v>22</v>
      </c>
      <c r="H30" s="3">
        <f t="shared" si="4"/>
        <v>118764.85399621597</v>
      </c>
      <c r="I30" s="13">
        <f t="shared" si="5"/>
        <v>852.31305474553244</v>
      </c>
      <c r="J30" s="3">
        <f t="shared" si="6"/>
        <v>792.16666921166563</v>
      </c>
      <c r="K30" s="13">
        <f t="shared" si="7"/>
        <v>60.146385533866805</v>
      </c>
    </row>
    <row r="31" spans="1:11" x14ac:dyDescent="0.3">
      <c r="A31">
        <v>23</v>
      </c>
      <c r="B31" s="3">
        <f t="shared" si="8"/>
        <v>113428.57142857133</v>
      </c>
      <c r="C31" s="3">
        <f t="shared" si="1"/>
        <v>285.71428571428572</v>
      </c>
      <c r="D31" s="3">
        <f t="shared" si="9"/>
        <v>758.09523809523751</v>
      </c>
      <c r="E31" s="3">
        <f t="shared" si="10"/>
        <v>1043.8095238095232</v>
      </c>
      <c r="F31" s="3"/>
      <c r="G31">
        <v>23</v>
      </c>
      <c r="H31" s="3">
        <f t="shared" si="4"/>
        <v>118704.30663477855</v>
      </c>
      <c r="I31" s="13">
        <f t="shared" si="5"/>
        <v>852.31305474553244</v>
      </c>
      <c r="J31" s="3">
        <f t="shared" si="6"/>
        <v>791.76569330810651</v>
      </c>
      <c r="K31" s="13">
        <f t="shared" si="7"/>
        <v>60.547361437425934</v>
      </c>
    </row>
    <row r="32" spans="1:11" x14ac:dyDescent="0.3">
      <c r="A32">
        <v>24</v>
      </c>
      <c r="B32" s="3">
        <f t="shared" si="8"/>
        <v>113142.85714285704</v>
      </c>
      <c r="C32" s="3">
        <f t="shared" si="1"/>
        <v>285.71428571428572</v>
      </c>
      <c r="D32" s="3">
        <f t="shared" si="9"/>
        <v>756.19047619047558</v>
      </c>
      <c r="E32" s="3">
        <f t="shared" si="10"/>
        <v>1041.9047619047612</v>
      </c>
      <c r="F32" s="3"/>
      <c r="G32">
        <v>24</v>
      </c>
      <c r="H32" s="3">
        <f t="shared" si="4"/>
        <v>118643.35562426488</v>
      </c>
      <c r="I32" s="13">
        <f t="shared" si="5"/>
        <v>852.31305474553244</v>
      </c>
      <c r="J32" s="3">
        <f t="shared" si="6"/>
        <v>791.362044231857</v>
      </c>
      <c r="K32" s="13">
        <f t="shared" si="7"/>
        <v>60.951010513675442</v>
      </c>
    </row>
    <row r="33" spans="1:11" x14ac:dyDescent="0.3">
      <c r="A33">
        <v>25</v>
      </c>
      <c r="B33" s="3">
        <f t="shared" si="8"/>
        <v>112857.14285714275</v>
      </c>
      <c r="C33" s="3">
        <f t="shared" si="1"/>
        <v>285.71428571428572</v>
      </c>
      <c r="D33" s="3">
        <f t="shared" si="9"/>
        <v>754.28571428571365</v>
      </c>
      <c r="E33" s="3">
        <f t="shared" si="10"/>
        <v>1039.9999999999993</v>
      </c>
      <c r="F33" s="3"/>
      <c r="G33">
        <v>25</v>
      </c>
      <c r="H33" s="3">
        <f t="shared" si="4"/>
        <v>118581.99827368111</v>
      </c>
      <c r="I33" s="13">
        <f t="shared" si="5"/>
        <v>852.31305474553244</v>
      </c>
      <c r="J33" s="3">
        <f t="shared" si="6"/>
        <v>790.95570416176588</v>
      </c>
      <c r="K33" s="13">
        <f t="shared" si="7"/>
        <v>61.357350583766561</v>
      </c>
    </row>
    <row r="34" spans="1:11" x14ac:dyDescent="0.3">
      <c r="A34">
        <v>26</v>
      </c>
      <c r="B34" s="3">
        <f t="shared" si="8"/>
        <v>112571.42857142846</v>
      </c>
      <c r="C34" s="3">
        <f t="shared" si="1"/>
        <v>285.71428571428572</v>
      </c>
      <c r="D34" s="3">
        <f t="shared" si="9"/>
        <v>752.38095238095173</v>
      </c>
      <c r="E34" s="3">
        <f t="shared" si="10"/>
        <v>1038.0952380952374</v>
      </c>
      <c r="F34" s="3"/>
      <c r="G34">
        <v>26</v>
      </c>
      <c r="H34" s="3">
        <f t="shared" si="4"/>
        <v>118520.23187409344</v>
      </c>
      <c r="I34" s="13">
        <f t="shared" si="5"/>
        <v>852.31305474553244</v>
      </c>
      <c r="J34" s="3">
        <f t="shared" si="6"/>
        <v>790.54665515787406</v>
      </c>
      <c r="K34" s="13">
        <f t="shared" si="7"/>
        <v>61.766399587658384</v>
      </c>
    </row>
    <row r="35" spans="1:11" x14ac:dyDescent="0.3">
      <c r="A35">
        <v>27</v>
      </c>
      <c r="B35" s="3">
        <f t="shared" si="8"/>
        <v>112285.71428571417</v>
      </c>
      <c r="C35" s="3">
        <f t="shared" si="1"/>
        <v>285.71428571428572</v>
      </c>
      <c r="D35" s="3">
        <f t="shared" si="9"/>
        <v>750.4761904761898</v>
      </c>
      <c r="E35" s="3">
        <f t="shared" si="10"/>
        <v>1036.1904761904755</v>
      </c>
      <c r="F35" s="3"/>
      <c r="G35">
        <v>27</v>
      </c>
      <c r="H35" s="3">
        <f t="shared" si="4"/>
        <v>118458.05369850853</v>
      </c>
      <c r="I35" s="13">
        <f t="shared" si="5"/>
        <v>852.31305474553244</v>
      </c>
      <c r="J35" s="3">
        <f t="shared" si="6"/>
        <v>790.13487916062297</v>
      </c>
      <c r="K35" s="13">
        <f t="shared" si="7"/>
        <v>62.178175584909468</v>
      </c>
    </row>
    <row r="36" spans="1:11" x14ac:dyDescent="0.3">
      <c r="A36">
        <v>28</v>
      </c>
      <c r="B36" s="3">
        <f t="shared" si="8"/>
        <v>111999.99999999988</v>
      </c>
      <c r="C36" s="3">
        <f t="shared" si="1"/>
        <v>285.71428571428572</v>
      </c>
      <c r="D36" s="3">
        <f t="shared" si="9"/>
        <v>748.57142857142787</v>
      </c>
      <c r="E36" s="3">
        <f t="shared" si="10"/>
        <v>1034.2857142857135</v>
      </c>
      <c r="F36" s="3"/>
      <c r="G36">
        <v>28</v>
      </c>
      <c r="H36" s="3">
        <f t="shared" si="4"/>
        <v>118395.46100175306</v>
      </c>
      <c r="I36" s="13">
        <f t="shared" si="5"/>
        <v>852.31305474553244</v>
      </c>
      <c r="J36" s="3">
        <f t="shared" si="6"/>
        <v>789.72035799005698</v>
      </c>
      <c r="K36" s="13">
        <f t="shared" si="7"/>
        <v>62.592696755475458</v>
      </c>
    </row>
    <row r="37" spans="1:11" x14ac:dyDescent="0.3">
      <c r="A37">
        <v>29</v>
      </c>
      <c r="B37" s="3">
        <f t="shared" si="8"/>
        <v>111714.28571428559</v>
      </c>
      <c r="C37" s="3">
        <f t="shared" si="1"/>
        <v>285.71428571428572</v>
      </c>
      <c r="D37" s="3">
        <f t="shared" si="9"/>
        <v>746.66666666666595</v>
      </c>
      <c r="E37" s="3">
        <f t="shared" si="10"/>
        <v>1032.3809523809516</v>
      </c>
      <c r="F37" s="3"/>
      <c r="G37">
        <v>29</v>
      </c>
      <c r="H37" s="3">
        <f t="shared" si="4"/>
        <v>118332.45102035256</v>
      </c>
      <c r="I37" s="13">
        <f t="shared" si="5"/>
        <v>852.31305474553244</v>
      </c>
      <c r="J37" s="3">
        <f t="shared" si="6"/>
        <v>789.30307334502049</v>
      </c>
      <c r="K37" s="13">
        <f t="shared" si="7"/>
        <v>63.009981400511947</v>
      </c>
    </row>
    <row r="38" spans="1:11" x14ac:dyDescent="0.3">
      <c r="A38">
        <v>30</v>
      </c>
      <c r="B38" s="3">
        <f t="shared" si="8"/>
        <v>111428.5714285713</v>
      </c>
      <c r="C38" s="3">
        <f t="shared" si="1"/>
        <v>285.71428571428572</v>
      </c>
      <c r="D38" s="3">
        <f t="shared" si="9"/>
        <v>744.76190476190402</v>
      </c>
      <c r="E38" s="3">
        <f t="shared" si="10"/>
        <v>1030.4761904761897</v>
      </c>
      <c r="F38" s="3"/>
      <c r="G38">
        <v>30</v>
      </c>
      <c r="H38" s="3">
        <f t="shared" si="4"/>
        <v>118269.02097240937</v>
      </c>
      <c r="I38" s="13">
        <f t="shared" si="5"/>
        <v>852.31305474553244</v>
      </c>
      <c r="J38" s="3">
        <f t="shared" si="6"/>
        <v>788.88300680235045</v>
      </c>
      <c r="K38" s="13">
        <f t="shared" si="7"/>
        <v>63.430047943181989</v>
      </c>
    </row>
    <row r="39" spans="1:11" x14ac:dyDescent="0.3">
      <c r="A39">
        <v>31</v>
      </c>
      <c r="B39" s="3">
        <f t="shared" si="8"/>
        <v>111142.85714285701</v>
      </c>
      <c r="C39" s="3">
        <f t="shared" si="1"/>
        <v>285.71428571428572</v>
      </c>
      <c r="D39" s="3">
        <f t="shared" si="9"/>
        <v>742.85714285714209</v>
      </c>
      <c r="E39" s="3">
        <f t="shared" si="10"/>
        <v>1028.5714285714278</v>
      </c>
      <c r="F39" s="3"/>
      <c r="G39">
        <v>31</v>
      </c>
      <c r="H39" s="3">
        <f t="shared" si="4"/>
        <v>118205.16805747991</v>
      </c>
      <c r="I39" s="13">
        <f t="shared" si="5"/>
        <v>852.31305474553244</v>
      </c>
      <c r="J39" s="3">
        <f t="shared" si="6"/>
        <v>788.46013981606256</v>
      </c>
      <c r="K39" s="13">
        <f t="shared" si="7"/>
        <v>63.852914929469875</v>
      </c>
    </row>
    <row r="40" spans="1:11" x14ac:dyDescent="0.3">
      <c r="A40">
        <v>32</v>
      </c>
      <c r="B40" s="3">
        <f t="shared" si="8"/>
        <v>110857.14285714272</v>
      </c>
      <c r="C40" s="3">
        <f t="shared" si="1"/>
        <v>285.71428571428572</v>
      </c>
      <c r="D40" s="3">
        <f t="shared" si="9"/>
        <v>740.95238095238017</v>
      </c>
      <c r="E40" s="3">
        <f t="shared" si="10"/>
        <v>1026.6666666666658</v>
      </c>
      <c r="F40" s="3"/>
      <c r="G40">
        <v>32</v>
      </c>
      <c r="H40" s="3">
        <f t="shared" si="4"/>
        <v>118140.88945645091</v>
      </c>
      <c r="I40" s="13">
        <f t="shared" si="5"/>
        <v>852.31305474553244</v>
      </c>
      <c r="J40" s="3">
        <f t="shared" si="6"/>
        <v>788.03445371653277</v>
      </c>
      <c r="K40" s="13">
        <f t="shared" si="7"/>
        <v>64.278601028999674</v>
      </c>
    </row>
    <row r="41" spans="1:11" x14ac:dyDescent="0.3">
      <c r="A41">
        <v>33</v>
      </c>
      <c r="B41" s="3">
        <f t="shared" si="8"/>
        <v>110571.42857142843</v>
      </c>
      <c r="C41" s="3">
        <f t="shared" si="1"/>
        <v>285.71428571428572</v>
      </c>
      <c r="D41" s="3">
        <f t="shared" si="9"/>
        <v>739.04761904761824</v>
      </c>
      <c r="E41" s="3">
        <f t="shared" si="10"/>
        <v>1024.7619047619039</v>
      </c>
      <c r="F41" s="3"/>
      <c r="G41">
        <v>33</v>
      </c>
      <c r="H41" s="3">
        <f t="shared" si="4"/>
        <v>118076.18233141505</v>
      </c>
      <c r="I41" s="13">
        <f t="shared" si="5"/>
        <v>852.31305474553244</v>
      </c>
      <c r="J41" s="3">
        <f t="shared" si="6"/>
        <v>787.60592970967275</v>
      </c>
      <c r="K41" s="13">
        <f t="shared" si="7"/>
        <v>64.70712503585969</v>
      </c>
    </row>
    <row r="42" spans="1:11" x14ac:dyDescent="0.3">
      <c r="A42">
        <v>34</v>
      </c>
      <c r="B42" s="3">
        <f t="shared" si="8"/>
        <v>110285.71428571414</v>
      </c>
      <c r="C42" s="3">
        <f t="shared" si="1"/>
        <v>285.71428571428572</v>
      </c>
      <c r="D42" s="3">
        <f t="shared" si="9"/>
        <v>737.14285714285631</v>
      </c>
      <c r="E42" s="3">
        <f t="shared" si="10"/>
        <v>1022.857142857142</v>
      </c>
      <c r="F42" s="3"/>
      <c r="G42">
        <v>34</v>
      </c>
      <c r="H42" s="3">
        <f t="shared" si="4"/>
        <v>118011.04382554562</v>
      </c>
      <c r="I42" s="13">
        <f t="shared" si="5"/>
        <v>852.31305474553244</v>
      </c>
      <c r="J42" s="3">
        <f t="shared" si="6"/>
        <v>787.1745488761004</v>
      </c>
      <c r="K42" s="13">
        <f t="shared" si="7"/>
        <v>65.138505869432038</v>
      </c>
    </row>
    <row r="43" spans="1:11" x14ac:dyDescent="0.3">
      <c r="A43">
        <v>35</v>
      </c>
      <c r="B43" s="3">
        <f t="shared" si="8"/>
        <v>109999.99999999985</v>
      </c>
      <c r="C43" s="3">
        <f t="shared" si="1"/>
        <v>285.71428571428572</v>
      </c>
      <c r="D43" s="3">
        <f t="shared" si="9"/>
        <v>735.23809523809439</v>
      </c>
      <c r="E43" s="3">
        <f t="shared" si="10"/>
        <v>1020.9523809523801</v>
      </c>
      <c r="F43" s="3"/>
      <c r="G43">
        <v>35</v>
      </c>
      <c r="H43" s="3">
        <f t="shared" si="4"/>
        <v>117945.47106297039</v>
      </c>
      <c r="I43" s="13">
        <f t="shared" si="5"/>
        <v>852.31305474553244</v>
      </c>
      <c r="J43" s="3">
        <f t="shared" si="6"/>
        <v>786.7402921703042</v>
      </c>
      <c r="K43" s="13">
        <f t="shared" si="7"/>
        <v>65.572762575228239</v>
      </c>
    </row>
    <row r="44" spans="1:11" x14ac:dyDescent="0.3">
      <c r="A44">
        <v>36</v>
      </c>
      <c r="B44" s="3">
        <f t="shared" si="8"/>
        <v>109714.28571428556</v>
      </c>
      <c r="C44" s="3">
        <f t="shared" si="1"/>
        <v>285.71428571428572</v>
      </c>
      <c r="D44" s="3">
        <f t="shared" si="9"/>
        <v>733.33333333333246</v>
      </c>
      <c r="E44" s="3">
        <f t="shared" si="10"/>
        <v>1019.0476190476181</v>
      </c>
      <c r="F44" s="3"/>
      <c r="G44">
        <v>36</v>
      </c>
      <c r="H44" s="3">
        <f t="shared" si="4"/>
        <v>117879.46114864467</v>
      </c>
      <c r="I44" s="13">
        <f t="shared" si="5"/>
        <v>852.31305474553244</v>
      </c>
      <c r="J44" s="3">
        <f t="shared" si="6"/>
        <v>786.30314041980262</v>
      </c>
      <c r="K44" s="13">
        <f t="shared" si="7"/>
        <v>66.009914325729824</v>
      </c>
    </row>
    <row r="45" spans="1:11" x14ac:dyDescent="0.3">
      <c r="A45">
        <v>37</v>
      </c>
      <c r="B45" s="3">
        <f t="shared" si="8"/>
        <v>109428.57142857127</v>
      </c>
      <c r="C45" s="3">
        <f t="shared" si="1"/>
        <v>285.71428571428572</v>
      </c>
      <c r="D45" s="3">
        <f t="shared" si="9"/>
        <v>731.42857142857042</v>
      </c>
      <c r="E45" s="3">
        <f t="shared" si="10"/>
        <v>1017.1428571428562</v>
      </c>
      <c r="F45" s="3"/>
      <c r="G45">
        <v>37</v>
      </c>
      <c r="H45" s="3">
        <f t="shared" si="4"/>
        <v>117813.01116822343</v>
      </c>
      <c r="I45" s="13">
        <f t="shared" si="5"/>
        <v>852.31305474553244</v>
      </c>
      <c r="J45" s="3">
        <f t="shared" si="6"/>
        <v>785.86307432429783</v>
      </c>
      <c r="K45" s="13">
        <f t="shared" si="7"/>
        <v>66.449980421234613</v>
      </c>
    </row>
    <row r="46" spans="1:11" x14ac:dyDescent="0.3">
      <c r="A46">
        <v>38</v>
      </c>
      <c r="B46" s="3">
        <f t="shared" si="8"/>
        <v>109142.85714285698</v>
      </c>
      <c r="C46" s="3">
        <f t="shared" si="1"/>
        <v>285.71428571428572</v>
      </c>
      <c r="D46" s="3">
        <f t="shared" si="9"/>
        <v>729.5238095238085</v>
      </c>
      <c r="E46" s="3">
        <f t="shared" si="10"/>
        <v>1015.2380952380943</v>
      </c>
      <c r="F46" s="3"/>
      <c r="G46">
        <v>38</v>
      </c>
      <c r="H46" s="3">
        <f t="shared" si="4"/>
        <v>117746.11818793272</v>
      </c>
      <c r="I46" s="13">
        <f t="shared" si="5"/>
        <v>852.31305474553244</v>
      </c>
      <c r="J46" s="3">
        <f t="shared" si="6"/>
        <v>785.42007445482295</v>
      </c>
      <c r="K46" s="13">
        <f t="shared" si="7"/>
        <v>66.892980290709488</v>
      </c>
    </row>
    <row r="47" spans="1:11" x14ac:dyDescent="0.3">
      <c r="A47">
        <v>39</v>
      </c>
      <c r="B47" s="3">
        <f t="shared" si="8"/>
        <v>108857.14285714269</v>
      </c>
      <c r="C47" s="3">
        <f t="shared" si="1"/>
        <v>285.71428571428572</v>
      </c>
      <c r="D47" s="3">
        <f t="shared" si="9"/>
        <v>727.61904761904657</v>
      </c>
      <c r="E47" s="3">
        <f t="shared" si="10"/>
        <v>1013.3333333333323</v>
      </c>
      <c r="F47" s="3"/>
      <c r="G47">
        <v>39</v>
      </c>
      <c r="H47" s="3">
        <f t="shared" si="4"/>
        <v>117678.77925444007</v>
      </c>
      <c r="I47" s="13">
        <f t="shared" si="5"/>
        <v>852.31305474553244</v>
      </c>
      <c r="J47" s="3">
        <f t="shared" si="6"/>
        <v>784.97412125288486</v>
      </c>
      <c r="K47" s="13">
        <f t="shared" si="7"/>
        <v>67.338933492647584</v>
      </c>
    </row>
    <row r="48" spans="1:11" x14ac:dyDescent="0.3">
      <c r="A48">
        <v>40</v>
      </c>
      <c r="B48" s="3">
        <f t="shared" si="8"/>
        <v>108571.42857142841</v>
      </c>
      <c r="C48" s="3">
        <f t="shared" si="1"/>
        <v>285.71428571428572</v>
      </c>
      <c r="D48" s="3">
        <f t="shared" si="9"/>
        <v>725.71428571428464</v>
      </c>
      <c r="E48" s="3">
        <f t="shared" si="10"/>
        <v>1011.4285714285704</v>
      </c>
      <c r="F48" s="3"/>
      <c r="G48">
        <v>40</v>
      </c>
      <c r="H48" s="3">
        <f t="shared" si="4"/>
        <v>117610.99139472414</v>
      </c>
      <c r="I48" s="13">
        <f t="shared" si="5"/>
        <v>852.31305474553244</v>
      </c>
      <c r="J48" s="3">
        <f t="shared" si="6"/>
        <v>784.52519502960058</v>
      </c>
      <c r="K48" s="13">
        <f t="shared" si="7"/>
        <v>67.787859715931859</v>
      </c>
    </row>
    <row r="49" spans="1:11" x14ac:dyDescent="0.3">
      <c r="A49">
        <v>41</v>
      </c>
      <c r="B49" s="3">
        <f t="shared" si="8"/>
        <v>108285.71428571412</v>
      </c>
      <c r="C49" s="3">
        <f t="shared" si="1"/>
        <v>285.71428571428572</v>
      </c>
      <c r="D49" s="3">
        <f t="shared" si="9"/>
        <v>723.80952380952272</v>
      </c>
      <c r="E49" s="3">
        <f t="shared" si="10"/>
        <v>1009.5238095238085</v>
      </c>
      <c r="F49" s="3"/>
      <c r="G49">
        <v>41</v>
      </c>
      <c r="H49" s="3">
        <f t="shared" si="4"/>
        <v>117542.75161594345</v>
      </c>
      <c r="I49" s="13">
        <f t="shared" si="5"/>
        <v>852.31305474553244</v>
      </c>
      <c r="J49" s="3">
        <f t="shared" si="6"/>
        <v>784.07327596482764</v>
      </c>
      <c r="K49" s="13">
        <f t="shared" si="7"/>
        <v>68.239778780704796</v>
      </c>
    </row>
    <row r="50" spans="1:11" x14ac:dyDescent="0.3">
      <c r="A50">
        <v>42</v>
      </c>
      <c r="B50" s="3">
        <f t="shared" si="8"/>
        <v>107999.99999999983</v>
      </c>
      <c r="C50" s="3">
        <f t="shared" si="1"/>
        <v>285.71428571428572</v>
      </c>
      <c r="D50" s="3">
        <f t="shared" si="9"/>
        <v>721.90476190476079</v>
      </c>
      <c r="E50" s="3">
        <f t="shared" si="10"/>
        <v>1007.6190476190466</v>
      </c>
      <c r="F50" s="3"/>
      <c r="G50">
        <v>42</v>
      </c>
      <c r="H50" s="3">
        <f t="shared" si="4"/>
        <v>117474.0569053042</v>
      </c>
      <c r="I50" s="13">
        <f t="shared" si="5"/>
        <v>852.31305474553244</v>
      </c>
      <c r="J50" s="3">
        <f t="shared" si="6"/>
        <v>783.61834410628967</v>
      </c>
      <c r="K50" s="13">
        <f t="shared" si="7"/>
        <v>68.694710639242771</v>
      </c>
    </row>
    <row r="51" spans="1:11" x14ac:dyDescent="0.3">
      <c r="A51">
        <v>43</v>
      </c>
      <c r="B51" s="3">
        <f t="shared" si="8"/>
        <v>107714.28571428554</v>
      </c>
      <c r="C51" s="3">
        <f t="shared" si="1"/>
        <v>285.71428571428572</v>
      </c>
      <c r="D51" s="3">
        <f t="shared" si="9"/>
        <v>719.99999999999886</v>
      </c>
      <c r="E51" s="3">
        <f t="shared" si="10"/>
        <v>1005.7142857142846</v>
      </c>
      <c r="F51" s="3"/>
      <c r="G51">
        <v>43</v>
      </c>
      <c r="H51" s="3">
        <f t="shared" si="4"/>
        <v>117404.90422992736</v>
      </c>
      <c r="I51" s="13">
        <f t="shared" si="5"/>
        <v>852.31305474553244</v>
      </c>
      <c r="J51" s="3">
        <f t="shared" si="6"/>
        <v>783.16037936869475</v>
      </c>
      <c r="K51" s="13">
        <f t="shared" si="7"/>
        <v>69.152675376837692</v>
      </c>
    </row>
    <row r="52" spans="1:11" x14ac:dyDescent="0.3">
      <c r="A52">
        <v>44</v>
      </c>
      <c r="B52" s="3">
        <f t="shared" si="8"/>
        <v>107428.57142857125</v>
      </c>
      <c r="C52" s="3">
        <f t="shared" si="1"/>
        <v>285.71428571428572</v>
      </c>
      <c r="D52" s="3">
        <f t="shared" si="9"/>
        <v>718.09523809523694</v>
      </c>
      <c r="E52" s="3">
        <f t="shared" si="10"/>
        <v>1003.8095238095227</v>
      </c>
      <c r="F52" s="3"/>
      <c r="G52">
        <v>44</v>
      </c>
      <c r="H52" s="3">
        <f t="shared" si="4"/>
        <v>117335.29053671467</v>
      </c>
      <c r="I52" s="13">
        <f t="shared" si="5"/>
        <v>852.31305474553244</v>
      </c>
      <c r="J52" s="3">
        <f t="shared" si="6"/>
        <v>782.69936153284914</v>
      </c>
      <c r="K52" s="13">
        <f t="shared" si="7"/>
        <v>69.613693212683302</v>
      </c>
    </row>
    <row r="53" spans="1:11" x14ac:dyDescent="0.3">
      <c r="A53">
        <v>45</v>
      </c>
      <c r="B53" s="3">
        <f t="shared" si="8"/>
        <v>107142.85714285696</v>
      </c>
      <c r="C53" s="3">
        <f t="shared" si="1"/>
        <v>285.71428571428572</v>
      </c>
      <c r="D53" s="3">
        <f t="shared" si="9"/>
        <v>716.19047619047501</v>
      </c>
      <c r="E53" s="3">
        <f t="shared" si="10"/>
        <v>1001.9047619047608</v>
      </c>
      <c r="F53" s="3"/>
      <c r="G53">
        <v>45</v>
      </c>
      <c r="H53" s="3">
        <f t="shared" si="4"/>
        <v>117265.21275221391</v>
      </c>
      <c r="I53" s="13">
        <f t="shared" si="5"/>
        <v>852.31305474553244</v>
      </c>
      <c r="J53" s="3">
        <f t="shared" si="6"/>
        <v>782.23527024476459</v>
      </c>
      <c r="K53" s="13">
        <f t="shared" si="7"/>
        <v>70.077784500767848</v>
      </c>
    </row>
    <row r="54" spans="1:11" x14ac:dyDescent="0.3">
      <c r="A54">
        <v>46</v>
      </c>
      <c r="B54" s="3">
        <f t="shared" si="8"/>
        <v>106857.14285714267</v>
      </c>
      <c r="C54" s="3">
        <f t="shared" si="1"/>
        <v>285.71428571428572</v>
      </c>
      <c r="D54" s="3">
        <f t="shared" si="9"/>
        <v>714.28571428571308</v>
      </c>
      <c r="E54" s="3">
        <f t="shared" si="10"/>
        <v>999.99999999999886</v>
      </c>
      <c r="F54" s="3"/>
      <c r="G54">
        <v>46</v>
      </c>
      <c r="H54" s="3">
        <f t="shared" si="4"/>
        <v>117194.66778248313</v>
      </c>
      <c r="I54" s="13">
        <f t="shared" si="5"/>
        <v>852.31305474553244</v>
      </c>
      <c r="J54" s="3">
        <f t="shared" si="6"/>
        <v>781.76808501475944</v>
      </c>
      <c r="K54" s="13">
        <f t="shared" si="7"/>
        <v>70.544969730773005</v>
      </c>
    </row>
    <row r="55" spans="1:11" x14ac:dyDescent="0.3">
      <c r="A55">
        <v>47</v>
      </c>
      <c r="B55" s="3">
        <f t="shared" si="8"/>
        <v>106571.42857142838</v>
      </c>
      <c r="C55" s="3">
        <f t="shared" si="1"/>
        <v>285.71428571428572</v>
      </c>
      <c r="D55" s="3">
        <f t="shared" si="9"/>
        <v>712.38095238095116</v>
      </c>
      <c r="E55" s="3">
        <f t="shared" si="10"/>
        <v>998.09523809523694</v>
      </c>
      <c r="F55" s="3"/>
      <c r="G55">
        <v>47</v>
      </c>
      <c r="H55" s="3">
        <f t="shared" si="4"/>
        <v>117123.65251295416</v>
      </c>
      <c r="I55" s="13">
        <f t="shared" si="5"/>
        <v>852.31305474553244</v>
      </c>
      <c r="J55" s="3">
        <f t="shared" si="6"/>
        <v>781.29778521655419</v>
      </c>
      <c r="K55" s="13">
        <f t="shared" si="7"/>
        <v>71.015269528978251</v>
      </c>
    </row>
    <row r="56" spans="1:11" x14ac:dyDescent="0.3">
      <c r="A56">
        <v>48</v>
      </c>
      <c r="B56" s="3">
        <f t="shared" si="8"/>
        <v>106285.71428571409</v>
      </c>
      <c r="C56" s="3">
        <f t="shared" si="1"/>
        <v>285.71428571428572</v>
      </c>
      <c r="D56" s="3">
        <f t="shared" si="9"/>
        <v>710.47619047618923</v>
      </c>
      <c r="E56" s="3">
        <f t="shared" si="10"/>
        <v>996.19047619047501</v>
      </c>
      <c r="F56" s="3"/>
      <c r="G56">
        <v>48</v>
      </c>
      <c r="H56" s="3">
        <f t="shared" si="4"/>
        <v>117052.16380829498</v>
      </c>
      <c r="I56" s="13">
        <f t="shared" si="5"/>
        <v>852.31305474553244</v>
      </c>
      <c r="J56" s="3">
        <f t="shared" si="6"/>
        <v>780.82435008636105</v>
      </c>
      <c r="K56" s="13">
        <f t="shared" si="7"/>
        <v>71.48870465917139</v>
      </c>
    </row>
    <row r="57" spans="1:11" x14ac:dyDescent="0.3">
      <c r="A57">
        <v>49</v>
      </c>
      <c r="B57" s="3">
        <f t="shared" si="8"/>
        <v>105999.9999999998</v>
      </c>
      <c r="C57" s="3">
        <f t="shared" si="1"/>
        <v>285.71428571428572</v>
      </c>
      <c r="D57" s="3">
        <f t="shared" si="9"/>
        <v>708.5714285714273</v>
      </c>
      <c r="E57" s="3">
        <f t="shared" si="10"/>
        <v>994.28571428571308</v>
      </c>
      <c r="F57" s="3"/>
      <c r="G57">
        <v>49</v>
      </c>
      <c r="H57" s="3">
        <f t="shared" si="4"/>
        <v>116980.19851227141</v>
      </c>
      <c r="I57" s="13">
        <f t="shared" si="5"/>
        <v>852.31305474553244</v>
      </c>
      <c r="J57" s="3">
        <f t="shared" si="6"/>
        <v>780.34775872196656</v>
      </c>
      <c r="K57" s="13">
        <f t="shared" si="7"/>
        <v>71.965296023565884</v>
      </c>
    </row>
    <row r="58" spans="1:11" x14ac:dyDescent="0.3">
      <c r="A58">
        <v>50</v>
      </c>
      <c r="B58" s="3">
        <f t="shared" si="8"/>
        <v>105714.28571428551</v>
      </c>
      <c r="C58" s="3">
        <f t="shared" si="1"/>
        <v>285.71428571428572</v>
      </c>
      <c r="D58" s="3">
        <f t="shared" si="9"/>
        <v>706.66666666666538</v>
      </c>
      <c r="E58" s="3">
        <f t="shared" si="10"/>
        <v>992.38095238095116</v>
      </c>
      <c r="F58" s="3"/>
      <c r="G58">
        <v>50</v>
      </c>
      <c r="H58" s="3">
        <f t="shared" si="4"/>
        <v>116907.75344760768</v>
      </c>
      <c r="I58" s="13">
        <f t="shared" si="5"/>
        <v>852.31305474553244</v>
      </c>
      <c r="J58" s="3">
        <f t="shared" si="6"/>
        <v>779.86799008180947</v>
      </c>
      <c r="K58" s="13">
        <f t="shared" si="7"/>
        <v>72.445064663722974</v>
      </c>
    </row>
    <row r="59" spans="1:11" x14ac:dyDescent="0.3">
      <c r="A59">
        <v>51</v>
      </c>
      <c r="B59" s="3">
        <f t="shared" si="8"/>
        <v>105428.57142857122</v>
      </c>
      <c r="C59" s="3">
        <f t="shared" si="1"/>
        <v>285.71428571428572</v>
      </c>
      <c r="D59" s="3">
        <f t="shared" si="9"/>
        <v>704.76190476190345</v>
      </c>
      <c r="E59" s="3">
        <f t="shared" si="10"/>
        <v>990.47619047618923</v>
      </c>
      <c r="F59" s="3"/>
      <c r="G59">
        <v>51</v>
      </c>
      <c r="H59" s="3">
        <f t="shared" si="4"/>
        <v>116834.82541584621</v>
      </c>
      <c r="I59" s="13">
        <f t="shared" si="5"/>
        <v>852.31305474553244</v>
      </c>
      <c r="J59" s="3">
        <f t="shared" si="6"/>
        <v>779.38502298405126</v>
      </c>
      <c r="K59" s="13">
        <f t="shared" si="7"/>
        <v>72.928031761481179</v>
      </c>
    </row>
    <row r="60" spans="1:11" x14ac:dyDescent="0.3">
      <c r="A60">
        <v>52</v>
      </c>
      <c r="B60" s="3">
        <f t="shared" si="8"/>
        <v>105142.85714285693</v>
      </c>
      <c r="C60" s="3">
        <f t="shared" si="1"/>
        <v>285.71428571428572</v>
      </c>
      <c r="D60" s="3">
        <f t="shared" si="9"/>
        <v>702.85714285714153</v>
      </c>
      <c r="E60" s="3">
        <f t="shared" si="10"/>
        <v>988.5714285714273</v>
      </c>
      <c r="F60" s="3"/>
      <c r="G60">
        <v>52</v>
      </c>
      <c r="H60" s="3">
        <f t="shared" si="4"/>
        <v>116761.41119720631</v>
      </c>
      <c r="I60" s="13">
        <f t="shared" si="5"/>
        <v>852.31305474553244</v>
      </c>
      <c r="J60" s="3">
        <f t="shared" si="6"/>
        <v>778.89883610564141</v>
      </c>
      <c r="K60" s="13">
        <f t="shared" si="7"/>
        <v>73.414218639891033</v>
      </c>
    </row>
    <row r="61" spans="1:11" x14ac:dyDescent="0.3">
      <c r="A61">
        <v>53</v>
      </c>
      <c r="B61" s="3">
        <f t="shared" si="8"/>
        <v>104857.14285714264</v>
      </c>
      <c r="C61" s="3">
        <f t="shared" si="1"/>
        <v>285.71428571428572</v>
      </c>
      <c r="D61" s="3">
        <f t="shared" si="9"/>
        <v>700.9523809523796</v>
      </c>
      <c r="E61" s="3">
        <f t="shared" si="10"/>
        <v>986.66666666666538</v>
      </c>
      <c r="F61" s="3"/>
      <c r="G61">
        <v>53</v>
      </c>
      <c r="H61" s="3">
        <f t="shared" si="4"/>
        <v>116687.50755044215</v>
      </c>
      <c r="I61" s="13">
        <f t="shared" si="5"/>
        <v>852.31305474553244</v>
      </c>
      <c r="J61" s="3">
        <f t="shared" si="6"/>
        <v>778.40940798137547</v>
      </c>
      <c r="K61" s="13">
        <f t="shared" si="7"/>
        <v>73.903646764156974</v>
      </c>
    </row>
    <row r="62" spans="1:11" x14ac:dyDescent="0.3">
      <c r="A62">
        <v>54</v>
      </c>
      <c r="B62" s="3">
        <f t="shared" si="8"/>
        <v>104571.42857142835</v>
      </c>
      <c r="C62" s="3">
        <f t="shared" si="1"/>
        <v>285.71428571428572</v>
      </c>
      <c r="D62" s="3">
        <f t="shared" si="9"/>
        <v>699.04761904761767</v>
      </c>
      <c r="E62" s="3">
        <f t="shared" si="10"/>
        <v>984.76190476190345</v>
      </c>
      <c r="F62" s="3"/>
      <c r="G62">
        <v>54</v>
      </c>
      <c r="H62" s="3">
        <f t="shared" si="4"/>
        <v>116613.11121269957</v>
      </c>
      <c r="I62" s="13">
        <f t="shared" si="5"/>
        <v>852.31305474553244</v>
      </c>
      <c r="J62" s="3">
        <f t="shared" si="6"/>
        <v>777.91671700294773</v>
      </c>
      <c r="K62" s="13">
        <f t="shared" si="7"/>
        <v>74.396337742584706</v>
      </c>
    </row>
    <row r="63" spans="1:11" x14ac:dyDescent="0.3">
      <c r="A63">
        <v>55</v>
      </c>
      <c r="B63" s="3">
        <f t="shared" si="8"/>
        <v>104285.71428571406</v>
      </c>
      <c r="C63" s="3">
        <f t="shared" si="1"/>
        <v>285.71428571428572</v>
      </c>
      <c r="D63" s="3">
        <f t="shared" si="9"/>
        <v>697.14285714285575</v>
      </c>
      <c r="E63" s="3">
        <f t="shared" si="10"/>
        <v>982.85714285714153</v>
      </c>
      <c r="F63" s="3"/>
      <c r="G63">
        <v>55</v>
      </c>
      <c r="H63" s="3">
        <f t="shared" si="4"/>
        <v>116538.21889937203</v>
      </c>
      <c r="I63" s="13">
        <f t="shared" si="5"/>
        <v>852.31305474553244</v>
      </c>
      <c r="J63" s="3">
        <f t="shared" si="6"/>
        <v>777.42074141799719</v>
      </c>
      <c r="K63" s="13">
        <f t="shared" si="7"/>
        <v>74.892313327535248</v>
      </c>
    </row>
    <row r="64" spans="1:11" x14ac:dyDescent="0.3">
      <c r="A64">
        <v>56</v>
      </c>
      <c r="B64" s="3">
        <f t="shared" si="8"/>
        <v>103999.99999999977</v>
      </c>
      <c r="C64" s="3">
        <f t="shared" si="1"/>
        <v>285.71428571428572</v>
      </c>
      <c r="D64" s="3">
        <f t="shared" si="9"/>
        <v>695.23809523809371</v>
      </c>
      <c r="E64" s="3">
        <f t="shared" si="10"/>
        <v>980.95238095237937</v>
      </c>
      <c r="F64" s="3"/>
      <c r="G64">
        <v>56</v>
      </c>
      <c r="H64" s="3">
        <f t="shared" si="4"/>
        <v>116462.82730395565</v>
      </c>
      <c r="I64" s="13">
        <f t="shared" si="5"/>
        <v>852.31305474553244</v>
      </c>
      <c r="J64" s="3">
        <f t="shared" si="6"/>
        <v>776.92145932914696</v>
      </c>
      <c r="K64" s="13">
        <f t="shared" si="7"/>
        <v>75.391595416385485</v>
      </c>
    </row>
    <row r="65" spans="1:11" x14ac:dyDescent="0.3">
      <c r="A65">
        <v>57</v>
      </c>
      <c r="B65" s="3">
        <f t="shared" si="8"/>
        <v>103714.28571428548</v>
      </c>
      <c r="C65" s="3">
        <f t="shared" si="1"/>
        <v>285.71428571428572</v>
      </c>
      <c r="D65" s="3">
        <f t="shared" si="9"/>
        <v>693.33333333333178</v>
      </c>
      <c r="E65" s="3">
        <f t="shared" si="10"/>
        <v>979.04761904761745</v>
      </c>
      <c r="F65" s="3"/>
      <c r="G65">
        <v>57</v>
      </c>
      <c r="H65" s="3">
        <f t="shared" si="4"/>
        <v>116386.93309790315</v>
      </c>
      <c r="I65" s="13">
        <f t="shared" si="5"/>
        <v>852.31305474553244</v>
      </c>
      <c r="J65" s="3">
        <f t="shared" si="6"/>
        <v>776.41884869303772</v>
      </c>
      <c r="K65" s="13">
        <f t="shared" si="7"/>
        <v>75.894206052494724</v>
      </c>
    </row>
    <row r="66" spans="1:11" x14ac:dyDescent="0.3">
      <c r="A66">
        <v>58</v>
      </c>
      <c r="B66" s="3">
        <f t="shared" si="8"/>
        <v>103428.57142857119</v>
      </c>
      <c r="C66" s="3">
        <f t="shared" si="1"/>
        <v>285.71428571428572</v>
      </c>
      <c r="D66" s="3">
        <f t="shared" si="9"/>
        <v>691.42857142856985</v>
      </c>
      <c r="E66" s="3">
        <f t="shared" si="10"/>
        <v>977.14285714285552</v>
      </c>
      <c r="F66" s="3"/>
      <c r="G66">
        <v>58</v>
      </c>
      <c r="H66" s="3">
        <f t="shared" si="4"/>
        <v>116310.53293047697</v>
      </c>
      <c r="I66" s="13">
        <f t="shared" si="5"/>
        <v>852.31305474553244</v>
      </c>
      <c r="J66" s="3">
        <f t="shared" si="6"/>
        <v>775.91288731935435</v>
      </c>
      <c r="K66" s="13">
        <f t="shared" si="7"/>
        <v>76.400167426178086</v>
      </c>
    </row>
    <row r="67" spans="1:11" x14ac:dyDescent="0.3">
      <c r="A67">
        <v>59</v>
      </c>
      <c r="B67" s="3">
        <f t="shared" si="8"/>
        <v>103142.8571428569</v>
      </c>
      <c r="C67" s="3">
        <f t="shared" si="1"/>
        <v>285.71428571428572</v>
      </c>
      <c r="D67" s="3">
        <f t="shared" si="9"/>
        <v>689.52380952380793</v>
      </c>
      <c r="E67" s="3">
        <f t="shared" si="10"/>
        <v>975.23809523809359</v>
      </c>
      <c r="F67" s="3"/>
      <c r="G67">
        <v>59</v>
      </c>
      <c r="H67" s="3">
        <f t="shared" si="4"/>
        <v>116233.62342860128</v>
      </c>
      <c r="I67" s="13">
        <f t="shared" si="5"/>
        <v>852.31305474553244</v>
      </c>
      <c r="J67" s="3">
        <f t="shared" si="6"/>
        <v>775.40355286984652</v>
      </c>
      <c r="K67" s="13">
        <f t="shared" si="7"/>
        <v>76.909501875685919</v>
      </c>
    </row>
    <row r="68" spans="1:11" x14ac:dyDescent="0.3">
      <c r="A68">
        <v>60</v>
      </c>
      <c r="B68" s="3">
        <f t="shared" si="8"/>
        <v>102857.14285714261</v>
      </c>
      <c r="C68" s="3">
        <f t="shared" si="1"/>
        <v>285.71428571428572</v>
      </c>
      <c r="D68" s="3">
        <f t="shared" si="9"/>
        <v>687.619047619046</v>
      </c>
      <c r="E68" s="3">
        <f t="shared" si="10"/>
        <v>973.33333333333167</v>
      </c>
      <c r="F68" s="3"/>
      <c r="G68">
        <v>60</v>
      </c>
      <c r="H68" s="3">
        <f t="shared" si="4"/>
        <v>116156.20119671308</v>
      </c>
      <c r="I68" s="13">
        <f t="shared" si="5"/>
        <v>852.31305474553244</v>
      </c>
      <c r="J68" s="3">
        <f t="shared" si="6"/>
        <v>774.89082285734185</v>
      </c>
      <c r="K68" s="13">
        <f t="shared" si="7"/>
        <v>77.422231888190595</v>
      </c>
    </row>
    <row r="69" spans="1:11" x14ac:dyDescent="0.3">
      <c r="A69">
        <v>61</v>
      </c>
      <c r="B69" s="3">
        <f t="shared" si="8"/>
        <v>102571.42857142832</v>
      </c>
      <c r="C69" s="3">
        <f t="shared" si="1"/>
        <v>285.71428571428572</v>
      </c>
      <c r="D69" s="3">
        <f t="shared" si="9"/>
        <v>685.71428571428407</v>
      </c>
      <c r="E69" s="3">
        <f t="shared" si="10"/>
        <v>971.42857142856974</v>
      </c>
      <c r="F69" s="3"/>
      <c r="G69">
        <v>61</v>
      </c>
      <c r="H69" s="3">
        <f t="shared" si="4"/>
        <v>116078.2628166123</v>
      </c>
      <c r="I69" s="13">
        <f t="shared" si="5"/>
        <v>852.31305474553244</v>
      </c>
      <c r="J69" s="3">
        <f t="shared" si="6"/>
        <v>774.3746746447539</v>
      </c>
      <c r="K69" s="13">
        <f t="shared" si="7"/>
        <v>77.938380100778545</v>
      </c>
    </row>
    <row r="70" spans="1:11" x14ac:dyDescent="0.3">
      <c r="A70">
        <v>62</v>
      </c>
      <c r="B70" s="3">
        <f t="shared" si="8"/>
        <v>102285.71428571403</v>
      </c>
      <c r="C70" s="3">
        <f t="shared" si="1"/>
        <v>285.71428571428572</v>
      </c>
      <c r="D70" s="3">
        <f t="shared" si="9"/>
        <v>683.80952380952215</v>
      </c>
      <c r="E70" s="3">
        <f t="shared" si="10"/>
        <v>969.52380952380781</v>
      </c>
      <c r="F70" s="3"/>
      <c r="G70">
        <v>62</v>
      </c>
      <c r="H70" s="3">
        <f t="shared" si="4"/>
        <v>115999.80484731085</v>
      </c>
      <c r="I70" s="13">
        <f t="shared" si="5"/>
        <v>852.31305474553244</v>
      </c>
      <c r="J70" s="3">
        <f t="shared" si="6"/>
        <v>773.85508544408208</v>
      </c>
      <c r="K70" s="13">
        <f t="shared" si="7"/>
        <v>78.457969301450362</v>
      </c>
    </row>
    <row r="71" spans="1:11" x14ac:dyDescent="0.3">
      <c r="A71">
        <v>63</v>
      </c>
      <c r="B71" s="3">
        <f t="shared" si="8"/>
        <v>101999.99999999974</v>
      </c>
      <c r="C71" s="3">
        <f t="shared" si="1"/>
        <v>285.71428571428572</v>
      </c>
      <c r="D71" s="3">
        <f t="shared" si="9"/>
        <v>681.90476190476022</v>
      </c>
      <c r="E71" s="3">
        <f t="shared" si="10"/>
        <v>967.61904761904589</v>
      </c>
      <c r="F71" s="3"/>
      <c r="G71">
        <v>63</v>
      </c>
      <c r="H71" s="3">
        <f t="shared" si="4"/>
        <v>115920.82382488072</v>
      </c>
      <c r="I71" s="13">
        <f t="shared" si="5"/>
        <v>852.31305474553244</v>
      </c>
      <c r="J71" s="3">
        <f t="shared" si="6"/>
        <v>773.33203231540574</v>
      </c>
      <c r="K71" s="13">
        <f t="shared" si="7"/>
        <v>78.9810224301267</v>
      </c>
    </row>
    <row r="72" spans="1:11" x14ac:dyDescent="0.3">
      <c r="A72">
        <v>64</v>
      </c>
      <c r="B72" s="3">
        <f t="shared" si="8"/>
        <v>101714.28571428545</v>
      </c>
      <c r="C72" s="3">
        <f t="shared" si="1"/>
        <v>285.71428571428572</v>
      </c>
      <c r="D72" s="3">
        <f t="shared" si="9"/>
        <v>679.99999999999829</v>
      </c>
      <c r="E72" s="3">
        <f t="shared" si="10"/>
        <v>965.71428571428396</v>
      </c>
      <c r="F72" s="3"/>
      <c r="G72">
        <v>64</v>
      </c>
      <c r="H72" s="3">
        <f t="shared" si="4"/>
        <v>115841.31626230106</v>
      </c>
      <c r="I72" s="13">
        <f t="shared" si="5"/>
        <v>852.31305474553244</v>
      </c>
      <c r="J72" s="3">
        <f t="shared" si="6"/>
        <v>772.80549216587156</v>
      </c>
      <c r="K72" s="13">
        <f t="shared" si="7"/>
        <v>79.507562579660885</v>
      </c>
    </row>
    <row r="73" spans="1:11" x14ac:dyDescent="0.3">
      <c r="A73">
        <v>65</v>
      </c>
      <c r="B73" s="3">
        <f t="shared" si="8"/>
        <v>101428.57142857116</v>
      </c>
      <c r="C73" s="3">
        <f t="shared" si="1"/>
        <v>285.71428571428572</v>
      </c>
      <c r="D73" s="3">
        <f t="shared" si="9"/>
        <v>678.09523809523637</v>
      </c>
      <c r="E73" s="3">
        <f t="shared" si="10"/>
        <v>963.80952380952203</v>
      </c>
      <c r="F73" s="3"/>
      <c r="G73">
        <v>65</v>
      </c>
      <c r="H73" s="3">
        <f t="shared" si="4"/>
        <v>115761.27864930419</v>
      </c>
      <c r="I73" s="13">
        <f t="shared" si="5"/>
        <v>852.31305474553244</v>
      </c>
      <c r="J73" s="3">
        <f t="shared" si="6"/>
        <v>772.27544174867376</v>
      </c>
      <c r="K73" s="13">
        <f t="shared" si="7"/>
        <v>80.037612996858684</v>
      </c>
    </row>
    <row r="74" spans="1:11" x14ac:dyDescent="0.3">
      <c r="A74">
        <v>66</v>
      </c>
      <c r="B74" s="3">
        <f t="shared" si="8"/>
        <v>101142.85714285687</v>
      </c>
      <c r="C74" s="3">
        <f t="shared" ref="C74:C137" si="11">$B$2/$B$4</f>
        <v>285.71428571428572</v>
      </c>
      <c r="D74" s="3">
        <f t="shared" si="9"/>
        <v>676.19047619047444</v>
      </c>
      <c r="E74" s="3">
        <f t="shared" si="10"/>
        <v>961.90476190476011</v>
      </c>
      <c r="F74" s="3"/>
      <c r="G74">
        <v>66</v>
      </c>
      <c r="H74" s="3">
        <f t="shared" ref="H74:H137" si="12">H73-K74</f>
        <v>115680.70745222068</v>
      </c>
      <c r="I74" s="13">
        <f t="shared" ref="I74:I137" si="13">PMT($B$3, $B$4, -$B$2)</f>
        <v>852.31305474553244</v>
      </c>
      <c r="J74" s="3">
        <f t="shared" ref="J74:J137" si="14">H73*$B$3</f>
        <v>771.741857662028</v>
      </c>
      <c r="K74" s="13">
        <f t="shared" ref="K74:K137" si="15">I74-J74</f>
        <v>80.571197083504444</v>
      </c>
    </row>
    <row r="75" spans="1:11" x14ac:dyDescent="0.3">
      <c r="A75">
        <v>67</v>
      </c>
      <c r="B75" s="3">
        <f t="shared" si="8"/>
        <v>100857.14285714258</v>
      </c>
      <c r="C75" s="3">
        <f t="shared" si="11"/>
        <v>285.71428571428572</v>
      </c>
      <c r="D75" s="3">
        <f t="shared" si="9"/>
        <v>674.28571428571252</v>
      </c>
      <c r="E75" s="3">
        <f t="shared" si="10"/>
        <v>959.99999999999818</v>
      </c>
      <c r="F75" s="3"/>
      <c r="G75">
        <v>67</v>
      </c>
      <c r="H75" s="3">
        <f t="shared" si="12"/>
        <v>115599.59911382329</v>
      </c>
      <c r="I75" s="13">
        <f t="shared" si="13"/>
        <v>852.31305474553244</v>
      </c>
      <c r="J75" s="3">
        <f t="shared" si="14"/>
        <v>771.20471634813794</v>
      </c>
      <c r="K75" s="13">
        <f t="shared" si="15"/>
        <v>81.108338397394505</v>
      </c>
    </row>
    <row r="76" spans="1:11" x14ac:dyDescent="0.3">
      <c r="A76">
        <v>68</v>
      </c>
      <c r="B76" s="3">
        <f t="shared" si="8"/>
        <v>100571.42857142829</v>
      </c>
      <c r="C76" s="3">
        <f t="shared" si="11"/>
        <v>285.71428571428572</v>
      </c>
      <c r="D76" s="3">
        <f t="shared" si="9"/>
        <v>672.38095238095059</v>
      </c>
      <c r="E76" s="3">
        <f t="shared" si="10"/>
        <v>958.09523809523625</v>
      </c>
      <c r="F76" s="3"/>
      <c r="G76">
        <v>68</v>
      </c>
      <c r="H76" s="3">
        <f t="shared" si="12"/>
        <v>115517.95005316992</v>
      </c>
      <c r="I76" s="13">
        <f t="shared" si="13"/>
        <v>852.31305474553244</v>
      </c>
      <c r="J76" s="3">
        <f t="shared" si="14"/>
        <v>770.66399409215535</v>
      </c>
      <c r="K76" s="13">
        <f t="shared" si="15"/>
        <v>81.649060653377092</v>
      </c>
    </row>
    <row r="77" spans="1:11" x14ac:dyDescent="0.3">
      <c r="A77">
        <v>69</v>
      </c>
      <c r="B77" s="3">
        <f t="shared" si="8"/>
        <v>100285.714285714</v>
      </c>
      <c r="C77" s="3">
        <f t="shared" si="11"/>
        <v>285.71428571428572</v>
      </c>
      <c r="D77" s="3">
        <f t="shared" si="9"/>
        <v>670.47619047618866</v>
      </c>
      <c r="E77" s="3">
        <f t="shared" si="10"/>
        <v>956.19047619047433</v>
      </c>
      <c r="F77" s="3"/>
      <c r="G77">
        <v>69</v>
      </c>
      <c r="H77" s="3">
        <f t="shared" si="12"/>
        <v>115435.75666544551</v>
      </c>
      <c r="I77" s="13">
        <f t="shared" si="13"/>
        <v>852.31305474553244</v>
      </c>
      <c r="J77" s="3">
        <f t="shared" si="14"/>
        <v>770.11966702113284</v>
      </c>
      <c r="K77" s="13">
        <f t="shared" si="15"/>
        <v>82.193387724399599</v>
      </c>
    </row>
    <row r="78" spans="1:11" x14ac:dyDescent="0.3">
      <c r="A78">
        <v>70</v>
      </c>
      <c r="B78" s="3">
        <f t="shared" si="8"/>
        <v>99999.999999999709</v>
      </c>
      <c r="C78" s="3">
        <f t="shared" si="11"/>
        <v>285.71428571428572</v>
      </c>
      <c r="D78" s="3">
        <f t="shared" si="9"/>
        <v>668.57142857142674</v>
      </c>
      <c r="E78" s="3">
        <f t="shared" si="10"/>
        <v>954.2857142857124</v>
      </c>
      <c r="F78" s="3"/>
      <c r="G78">
        <v>70</v>
      </c>
      <c r="H78" s="3">
        <f t="shared" si="12"/>
        <v>115353.01532180296</v>
      </c>
      <c r="I78" s="13">
        <f t="shared" si="13"/>
        <v>852.31305474553244</v>
      </c>
      <c r="J78" s="3">
        <f t="shared" si="14"/>
        <v>769.5717111029702</v>
      </c>
      <c r="K78" s="13">
        <f t="shared" si="15"/>
        <v>82.741343642562242</v>
      </c>
    </row>
    <row r="79" spans="1:11" x14ac:dyDescent="0.3">
      <c r="A79">
        <v>71</v>
      </c>
      <c r="B79" s="3">
        <f t="shared" si="8"/>
        <v>99714.285714285419</v>
      </c>
      <c r="C79" s="3">
        <f t="shared" si="11"/>
        <v>285.71428571428572</v>
      </c>
      <c r="D79" s="3">
        <f t="shared" si="9"/>
        <v>666.66666666666481</v>
      </c>
      <c r="E79" s="3">
        <f t="shared" si="10"/>
        <v>952.38095238095048</v>
      </c>
      <c r="F79" s="3"/>
      <c r="G79">
        <v>71</v>
      </c>
      <c r="H79" s="3">
        <f t="shared" si="12"/>
        <v>115269.72236920278</v>
      </c>
      <c r="I79" s="13">
        <f t="shared" si="13"/>
        <v>852.31305474553244</v>
      </c>
      <c r="J79" s="3">
        <f t="shared" si="14"/>
        <v>769.02010214535312</v>
      </c>
      <c r="K79" s="13">
        <f t="shared" si="15"/>
        <v>83.292952600179319</v>
      </c>
    </row>
    <row r="80" spans="1:11" x14ac:dyDescent="0.3">
      <c r="A80">
        <v>72</v>
      </c>
      <c r="B80" s="3">
        <f t="shared" si="8"/>
        <v>99428.571428571129</v>
      </c>
      <c r="C80" s="3">
        <f t="shared" si="11"/>
        <v>285.71428571428572</v>
      </c>
      <c r="D80" s="3">
        <f t="shared" si="9"/>
        <v>664.76190476190288</v>
      </c>
      <c r="E80" s="3">
        <f t="shared" si="10"/>
        <v>950.47619047618855</v>
      </c>
      <c r="F80" s="3"/>
      <c r="G80">
        <v>72</v>
      </c>
      <c r="H80" s="3">
        <f t="shared" si="12"/>
        <v>115185.87413025193</v>
      </c>
      <c r="I80" s="13">
        <f t="shared" si="13"/>
        <v>852.31305474553244</v>
      </c>
      <c r="J80" s="3">
        <f t="shared" si="14"/>
        <v>768.46481579468525</v>
      </c>
      <c r="K80" s="13">
        <f t="shared" si="15"/>
        <v>83.84823895084719</v>
      </c>
    </row>
    <row r="81" spans="1:11" x14ac:dyDescent="0.3">
      <c r="A81">
        <v>73</v>
      </c>
      <c r="B81" s="3">
        <f t="shared" ref="B81:B144" si="16">B80-C81</f>
        <v>99142.857142856839</v>
      </c>
      <c r="C81" s="3">
        <f t="shared" si="11"/>
        <v>285.71428571428572</v>
      </c>
      <c r="D81" s="3">
        <f t="shared" ref="D81:D144" si="17">B80*$B$3</f>
        <v>662.85714285714096</v>
      </c>
      <c r="E81" s="3">
        <f t="shared" ref="E81:E144" si="18">D81+C81</f>
        <v>948.57142857142662</v>
      </c>
      <c r="F81" s="3"/>
      <c r="G81">
        <v>73</v>
      </c>
      <c r="H81" s="3">
        <f t="shared" si="12"/>
        <v>115101.46690304141</v>
      </c>
      <c r="I81" s="13">
        <f t="shared" si="13"/>
        <v>852.31305474553244</v>
      </c>
      <c r="J81" s="3">
        <f t="shared" si="14"/>
        <v>767.90582753501292</v>
      </c>
      <c r="K81" s="13">
        <f t="shared" si="15"/>
        <v>84.407227210519522</v>
      </c>
    </row>
    <row r="82" spans="1:11" x14ac:dyDescent="0.3">
      <c r="A82">
        <v>74</v>
      </c>
      <c r="B82" s="3">
        <f t="shared" si="16"/>
        <v>98857.142857142549</v>
      </c>
      <c r="C82" s="3">
        <f t="shared" si="11"/>
        <v>285.71428571428572</v>
      </c>
      <c r="D82" s="3">
        <f t="shared" si="17"/>
        <v>660.95238095237892</v>
      </c>
      <c r="E82" s="3">
        <f t="shared" si="18"/>
        <v>946.6666666666647</v>
      </c>
      <c r="F82" s="3"/>
      <c r="G82">
        <v>74</v>
      </c>
      <c r="H82" s="3">
        <f t="shared" si="12"/>
        <v>115016.49696098281</v>
      </c>
      <c r="I82" s="13">
        <f t="shared" si="13"/>
        <v>852.31305474553244</v>
      </c>
      <c r="J82" s="3">
        <f t="shared" si="14"/>
        <v>767.34311268694273</v>
      </c>
      <c r="K82" s="13">
        <f t="shared" si="15"/>
        <v>84.969942058589709</v>
      </c>
    </row>
    <row r="83" spans="1:11" x14ac:dyDescent="0.3">
      <c r="A83">
        <v>75</v>
      </c>
      <c r="B83" s="3">
        <f t="shared" si="16"/>
        <v>98571.42857142826</v>
      </c>
      <c r="C83" s="3">
        <f t="shared" si="11"/>
        <v>285.71428571428572</v>
      </c>
      <c r="D83" s="3">
        <f t="shared" si="17"/>
        <v>659.04761904761699</v>
      </c>
      <c r="E83" s="3">
        <f t="shared" si="18"/>
        <v>944.76190476190277</v>
      </c>
      <c r="F83" s="3"/>
      <c r="G83">
        <v>75</v>
      </c>
      <c r="H83" s="3">
        <f t="shared" si="12"/>
        <v>114930.96055264382</v>
      </c>
      <c r="I83" s="13">
        <f t="shared" si="13"/>
        <v>852.31305474553244</v>
      </c>
      <c r="J83" s="3">
        <f t="shared" si="14"/>
        <v>766.77664640655212</v>
      </c>
      <c r="K83" s="13">
        <f t="shared" si="15"/>
        <v>85.536408338980323</v>
      </c>
    </row>
    <row r="84" spans="1:11" x14ac:dyDescent="0.3">
      <c r="A84">
        <v>76</v>
      </c>
      <c r="B84" s="3">
        <f t="shared" si="16"/>
        <v>98285.71428571397</v>
      </c>
      <c r="C84" s="3">
        <f t="shared" si="11"/>
        <v>285.71428571428572</v>
      </c>
      <c r="D84" s="3">
        <f t="shared" si="17"/>
        <v>657.14285714285506</v>
      </c>
      <c r="E84" s="3">
        <f t="shared" si="18"/>
        <v>942.85714285714084</v>
      </c>
      <c r="F84" s="3"/>
      <c r="G84">
        <v>76</v>
      </c>
      <c r="H84" s="3">
        <f t="shared" si="12"/>
        <v>114844.85390158258</v>
      </c>
      <c r="I84" s="13">
        <f t="shared" si="13"/>
        <v>852.31305474553244</v>
      </c>
      <c r="J84" s="3">
        <f t="shared" si="14"/>
        <v>766.20640368429224</v>
      </c>
      <c r="K84" s="13">
        <f t="shared" si="15"/>
        <v>86.1066510612402</v>
      </c>
    </row>
    <row r="85" spans="1:11" x14ac:dyDescent="0.3">
      <c r="A85">
        <v>77</v>
      </c>
      <c r="B85" s="3">
        <f t="shared" si="16"/>
        <v>97999.99999999968</v>
      </c>
      <c r="C85" s="3">
        <f t="shared" si="11"/>
        <v>285.71428571428572</v>
      </c>
      <c r="D85" s="3">
        <f t="shared" si="17"/>
        <v>655.23809523809314</v>
      </c>
      <c r="E85" s="3">
        <f t="shared" si="18"/>
        <v>940.95238095237892</v>
      </c>
      <c r="F85" s="3"/>
      <c r="G85">
        <v>77</v>
      </c>
      <c r="H85" s="3">
        <f t="shared" si="12"/>
        <v>114758.17320618093</v>
      </c>
      <c r="I85" s="13">
        <f t="shared" si="13"/>
        <v>852.31305474553244</v>
      </c>
      <c r="J85" s="3">
        <f t="shared" si="14"/>
        <v>765.63235934388388</v>
      </c>
      <c r="K85" s="13">
        <f t="shared" si="15"/>
        <v>86.680695401648563</v>
      </c>
    </row>
    <row r="86" spans="1:11" x14ac:dyDescent="0.3">
      <c r="A86">
        <v>78</v>
      </c>
      <c r="B86" s="3">
        <f t="shared" si="16"/>
        <v>97714.28571428539</v>
      </c>
      <c r="C86" s="3">
        <f t="shared" si="11"/>
        <v>285.71428571428572</v>
      </c>
      <c r="D86" s="3">
        <f t="shared" si="17"/>
        <v>653.33333333333121</v>
      </c>
      <c r="E86" s="3">
        <f t="shared" si="18"/>
        <v>939.04761904761699</v>
      </c>
      <c r="F86" s="3"/>
      <c r="G86">
        <v>78</v>
      </c>
      <c r="H86" s="3">
        <f t="shared" si="12"/>
        <v>114670.9146394766</v>
      </c>
      <c r="I86" s="13">
        <f t="shared" si="13"/>
        <v>852.31305474553244</v>
      </c>
      <c r="J86" s="3">
        <f t="shared" si="14"/>
        <v>765.05448804120624</v>
      </c>
      <c r="K86" s="13">
        <f t="shared" si="15"/>
        <v>87.258566704326199</v>
      </c>
    </row>
    <row r="87" spans="1:11" x14ac:dyDescent="0.3">
      <c r="A87">
        <v>79</v>
      </c>
      <c r="B87" s="3">
        <f t="shared" si="16"/>
        <v>97428.5714285711</v>
      </c>
      <c r="C87" s="3">
        <f t="shared" si="11"/>
        <v>285.71428571428572</v>
      </c>
      <c r="D87" s="3">
        <f t="shared" si="17"/>
        <v>651.42857142856928</v>
      </c>
      <c r="E87" s="3">
        <f t="shared" si="18"/>
        <v>937.14285714285506</v>
      </c>
      <c r="F87" s="3"/>
      <c r="G87">
        <v>79</v>
      </c>
      <c r="H87" s="3">
        <f t="shared" si="12"/>
        <v>114583.07434899424</v>
      </c>
      <c r="I87" s="13">
        <f t="shared" si="13"/>
        <v>852.31305474553244</v>
      </c>
      <c r="J87" s="3">
        <f t="shared" si="14"/>
        <v>764.4727642631774</v>
      </c>
      <c r="K87" s="13">
        <f t="shared" si="15"/>
        <v>87.840290482355044</v>
      </c>
    </row>
    <row r="88" spans="1:11" x14ac:dyDescent="0.3">
      <c r="A88">
        <v>80</v>
      </c>
      <c r="B88" s="3">
        <f t="shared" si="16"/>
        <v>97142.85714285681</v>
      </c>
      <c r="C88" s="3">
        <f t="shared" si="11"/>
        <v>285.71428571428572</v>
      </c>
      <c r="D88" s="3">
        <f t="shared" si="17"/>
        <v>649.52380952380736</v>
      </c>
      <c r="E88" s="3">
        <f t="shared" si="18"/>
        <v>935.23809523809314</v>
      </c>
      <c r="F88" s="3"/>
      <c r="G88">
        <v>80</v>
      </c>
      <c r="H88" s="3">
        <f t="shared" si="12"/>
        <v>114494.64845657533</v>
      </c>
      <c r="I88" s="13">
        <f t="shared" si="13"/>
        <v>852.31305474553244</v>
      </c>
      <c r="J88" s="3">
        <f t="shared" si="14"/>
        <v>763.8871623266283</v>
      </c>
      <c r="K88" s="13">
        <f t="shared" si="15"/>
        <v>88.425892418904141</v>
      </c>
    </row>
    <row r="89" spans="1:11" x14ac:dyDescent="0.3">
      <c r="A89">
        <v>81</v>
      </c>
      <c r="B89" s="3">
        <f t="shared" si="16"/>
        <v>96857.14285714252</v>
      </c>
      <c r="C89" s="3">
        <f t="shared" si="11"/>
        <v>285.71428571428572</v>
      </c>
      <c r="D89" s="3">
        <f t="shared" si="17"/>
        <v>647.61904761904543</v>
      </c>
      <c r="E89" s="3">
        <f t="shared" si="18"/>
        <v>933.33333333333121</v>
      </c>
      <c r="F89" s="3"/>
      <c r="G89">
        <v>81</v>
      </c>
      <c r="H89" s="3">
        <f t="shared" si="12"/>
        <v>114405.63305820696</v>
      </c>
      <c r="I89" s="13">
        <f t="shared" si="13"/>
        <v>852.31305474553244</v>
      </c>
      <c r="J89" s="3">
        <f t="shared" si="14"/>
        <v>763.29765637716889</v>
      </c>
      <c r="K89" s="13">
        <f t="shared" si="15"/>
        <v>89.015398368363549</v>
      </c>
    </row>
    <row r="90" spans="1:11" x14ac:dyDescent="0.3">
      <c r="A90">
        <v>82</v>
      </c>
      <c r="B90" s="3">
        <f t="shared" si="16"/>
        <v>96571.42857142823</v>
      </c>
      <c r="C90" s="3">
        <f t="shared" si="11"/>
        <v>285.71428571428572</v>
      </c>
      <c r="D90" s="3">
        <f t="shared" si="17"/>
        <v>645.71428571428351</v>
      </c>
      <c r="E90" s="3">
        <f t="shared" si="18"/>
        <v>931.42857142856928</v>
      </c>
      <c r="F90" s="3"/>
      <c r="G90">
        <v>82</v>
      </c>
      <c r="H90" s="3">
        <f t="shared" si="12"/>
        <v>114316.02422384948</v>
      </c>
      <c r="I90" s="13">
        <f t="shared" si="13"/>
        <v>852.31305474553244</v>
      </c>
      <c r="J90" s="3">
        <f t="shared" si="14"/>
        <v>762.70422038804645</v>
      </c>
      <c r="K90" s="13">
        <f t="shared" si="15"/>
        <v>89.608834357485989</v>
      </c>
    </row>
    <row r="91" spans="1:11" x14ac:dyDescent="0.3">
      <c r="A91">
        <v>83</v>
      </c>
      <c r="B91" s="3">
        <f t="shared" si="16"/>
        <v>96285.714285713941</v>
      </c>
      <c r="C91" s="3">
        <f t="shared" si="11"/>
        <v>285.71428571428572</v>
      </c>
      <c r="D91" s="3">
        <f t="shared" si="17"/>
        <v>643.80952380952158</v>
      </c>
      <c r="E91" s="3">
        <f t="shared" si="18"/>
        <v>929.52380952380736</v>
      </c>
      <c r="F91" s="3"/>
      <c r="G91">
        <v>83</v>
      </c>
      <c r="H91" s="3">
        <f t="shared" si="12"/>
        <v>114225.81799726294</v>
      </c>
      <c r="I91" s="13">
        <f t="shared" si="13"/>
        <v>852.31305474553244</v>
      </c>
      <c r="J91" s="3">
        <f t="shared" si="14"/>
        <v>762.10682815899656</v>
      </c>
      <c r="K91" s="13">
        <f t="shared" si="15"/>
        <v>90.206226586535877</v>
      </c>
    </row>
    <row r="92" spans="1:11" x14ac:dyDescent="0.3">
      <c r="A92">
        <v>84</v>
      </c>
      <c r="B92" s="3">
        <f t="shared" si="16"/>
        <v>95999.999999999651</v>
      </c>
      <c r="C92" s="3">
        <f t="shared" si="11"/>
        <v>285.71428571428572</v>
      </c>
      <c r="D92" s="3">
        <f t="shared" si="17"/>
        <v>641.90476190475965</v>
      </c>
      <c r="E92" s="3">
        <f t="shared" si="18"/>
        <v>927.61904761904543</v>
      </c>
      <c r="F92" s="3"/>
      <c r="G92">
        <v>84</v>
      </c>
      <c r="H92" s="3">
        <f t="shared" si="12"/>
        <v>114135.01039583251</v>
      </c>
      <c r="I92" s="13">
        <f t="shared" si="13"/>
        <v>852.31305474553244</v>
      </c>
      <c r="J92" s="3">
        <f t="shared" si="14"/>
        <v>761.50545331508636</v>
      </c>
      <c r="K92" s="13">
        <f t="shared" si="15"/>
        <v>90.807601430446084</v>
      </c>
    </row>
    <row r="93" spans="1:11" x14ac:dyDescent="0.3">
      <c r="A93">
        <v>85</v>
      </c>
      <c r="B93" s="3">
        <f t="shared" si="16"/>
        <v>95714.285714285361</v>
      </c>
      <c r="C93" s="3">
        <f t="shared" si="11"/>
        <v>285.71428571428572</v>
      </c>
      <c r="D93" s="3">
        <f t="shared" si="17"/>
        <v>639.99999999999773</v>
      </c>
      <c r="E93" s="3">
        <f t="shared" si="18"/>
        <v>925.71428571428351</v>
      </c>
      <c r="F93" s="3"/>
      <c r="G93">
        <v>85</v>
      </c>
      <c r="H93" s="3">
        <f t="shared" si="12"/>
        <v>114043.59741039253</v>
      </c>
      <c r="I93" s="13">
        <f t="shared" si="13"/>
        <v>852.31305474553244</v>
      </c>
      <c r="J93" s="3">
        <f t="shared" si="14"/>
        <v>760.90006930555012</v>
      </c>
      <c r="K93" s="13">
        <f t="shared" si="15"/>
        <v>91.412985439982322</v>
      </c>
    </row>
    <row r="94" spans="1:11" x14ac:dyDescent="0.3">
      <c r="A94">
        <v>86</v>
      </c>
      <c r="B94" s="3">
        <f t="shared" si="16"/>
        <v>95428.571428571071</v>
      </c>
      <c r="C94" s="3">
        <f t="shared" si="11"/>
        <v>285.71428571428572</v>
      </c>
      <c r="D94" s="3">
        <f t="shared" si="17"/>
        <v>638.0952380952358</v>
      </c>
      <c r="E94" s="3">
        <f t="shared" si="18"/>
        <v>923.80952380952158</v>
      </c>
      <c r="F94" s="3"/>
      <c r="G94">
        <v>86</v>
      </c>
      <c r="H94" s="3">
        <f t="shared" si="12"/>
        <v>113951.57500504961</v>
      </c>
      <c r="I94" s="13">
        <f t="shared" si="13"/>
        <v>852.31305474553244</v>
      </c>
      <c r="J94" s="3">
        <f t="shared" si="14"/>
        <v>760.29064940261685</v>
      </c>
      <c r="K94" s="13">
        <f t="shared" si="15"/>
        <v>92.02240534291559</v>
      </c>
    </row>
    <row r="95" spans="1:11" x14ac:dyDescent="0.3">
      <c r="A95">
        <v>87</v>
      </c>
      <c r="B95" s="3">
        <f t="shared" si="16"/>
        <v>95142.857142856781</v>
      </c>
      <c r="C95" s="3">
        <f t="shared" si="11"/>
        <v>285.71428571428572</v>
      </c>
      <c r="D95" s="3">
        <f t="shared" si="17"/>
        <v>636.19047619047387</v>
      </c>
      <c r="E95" s="3">
        <f t="shared" si="18"/>
        <v>921.90476190475965</v>
      </c>
      <c r="F95" s="3"/>
      <c r="G95">
        <v>87</v>
      </c>
      <c r="H95" s="3">
        <f t="shared" si="12"/>
        <v>113858.93911700441</v>
      </c>
      <c r="I95" s="13">
        <f t="shared" si="13"/>
        <v>852.31305474553244</v>
      </c>
      <c r="J95" s="3">
        <f t="shared" si="14"/>
        <v>759.67716670033076</v>
      </c>
      <c r="K95" s="13">
        <f t="shared" si="15"/>
        <v>92.635888045201682</v>
      </c>
    </row>
    <row r="96" spans="1:11" x14ac:dyDescent="0.3">
      <c r="A96">
        <v>88</v>
      </c>
      <c r="B96" s="3">
        <f t="shared" si="16"/>
        <v>94857.142857142491</v>
      </c>
      <c r="C96" s="3">
        <f t="shared" si="11"/>
        <v>285.71428571428572</v>
      </c>
      <c r="D96" s="3">
        <f t="shared" si="17"/>
        <v>634.28571428571195</v>
      </c>
      <c r="E96" s="3">
        <f t="shared" si="18"/>
        <v>919.99999999999773</v>
      </c>
      <c r="F96" s="3"/>
      <c r="G96">
        <v>88</v>
      </c>
      <c r="H96" s="3">
        <f t="shared" si="12"/>
        <v>113765.68565637224</v>
      </c>
      <c r="I96" s="13">
        <f t="shared" si="13"/>
        <v>852.31305474553244</v>
      </c>
      <c r="J96" s="3">
        <f t="shared" si="14"/>
        <v>759.05959411336278</v>
      </c>
      <c r="K96" s="13">
        <f t="shared" si="15"/>
        <v>93.253460632169663</v>
      </c>
    </row>
    <row r="97" spans="1:11" x14ac:dyDescent="0.3">
      <c r="A97">
        <v>89</v>
      </c>
      <c r="B97" s="3">
        <f t="shared" si="16"/>
        <v>94571.428571428201</v>
      </c>
      <c r="C97" s="3">
        <f t="shared" si="11"/>
        <v>285.71428571428572</v>
      </c>
      <c r="D97" s="3">
        <f t="shared" si="17"/>
        <v>632.38095238095002</v>
      </c>
      <c r="E97" s="3">
        <f t="shared" si="18"/>
        <v>918.0952380952358</v>
      </c>
      <c r="F97" s="3"/>
      <c r="G97">
        <v>89</v>
      </c>
      <c r="H97" s="3">
        <f t="shared" si="12"/>
        <v>113671.81050600253</v>
      </c>
      <c r="I97" s="13">
        <f t="shared" si="13"/>
        <v>852.31305474553244</v>
      </c>
      <c r="J97" s="3">
        <f t="shared" si="14"/>
        <v>758.43790437581492</v>
      </c>
      <c r="K97" s="13">
        <f t="shared" si="15"/>
        <v>93.875150369717517</v>
      </c>
    </row>
    <row r="98" spans="1:11" x14ac:dyDescent="0.3">
      <c r="A98">
        <v>90</v>
      </c>
      <c r="B98" s="3">
        <f t="shared" si="16"/>
        <v>94285.714285713912</v>
      </c>
      <c r="C98" s="3">
        <f t="shared" si="11"/>
        <v>285.71428571428572</v>
      </c>
      <c r="D98" s="3">
        <f t="shared" si="17"/>
        <v>630.47619047618809</v>
      </c>
      <c r="E98" s="3">
        <f t="shared" si="18"/>
        <v>916.19047619047387</v>
      </c>
      <c r="F98" s="3"/>
      <c r="G98">
        <v>90</v>
      </c>
      <c r="H98" s="3">
        <f t="shared" si="12"/>
        <v>113577.30952129701</v>
      </c>
      <c r="I98" s="13">
        <f t="shared" si="13"/>
        <v>852.31305474553244</v>
      </c>
      <c r="J98" s="3">
        <f t="shared" si="14"/>
        <v>757.81207004001692</v>
      </c>
      <c r="K98" s="13">
        <f t="shared" si="15"/>
        <v>94.500984705515521</v>
      </c>
    </row>
    <row r="99" spans="1:11" x14ac:dyDescent="0.3">
      <c r="A99">
        <v>91</v>
      </c>
      <c r="B99" s="3">
        <f t="shared" si="16"/>
        <v>93999.999999999622</v>
      </c>
      <c r="C99" s="3">
        <f t="shared" si="11"/>
        <v>285.71428571428572</v>
      </c>
      <c r="D99" s="3">
        <f t="shared" si="17"/>
        <v>628.57142857142617</v>
      </c>
      <c r="E99" s="3">
        <f t="shared" si="18"/>
        <v>914.28571428571195</v>
      </c>
      <c r="F99" s="3"/>
      <c r="G99">
        <v>91</v>
      </c>
      <c r="H99" s="3">
        <f t="shared" si="12"/>
        <v>113482.17853002679</v>
      </c>
      <c r="I99" s="13">
        <f t="shared" si="13"/>
        <v>852.31305474553244</v>
      </c>
      <c r="J99" s="3">
        <f t="shared" si="14"/>
        <v>757.18206347531338</v>
      </c>
      <c r="K99" s="13">
        <f t="shared" si="15"/>
        <v>95.130991270219056</v>
      </c>
    </row>
    <row r="100" spans="1:11" x14ac:dyDescent="0.3">
      <c r="A100">
        <v>92</v>
      </c>
      <c r="B100" s="3">
        <f t="shared" si="16"/>
        <v>93714.285714285332</v>
      </c>
      <c r="C100" s="3">
        <f t="shared" si="11"/>
        <v>285.71428571428572</v>
      </c>
      <c r="D100" s="3">
        <f t="shared" si="17"/>
        <v>626.66666666666424</v>
      </c>
      <c r="E100" s="3">
        <f t="shared" si="18"/>
        <v>912.38095238095002</v>
      </c>
      <c r="F100" s="3"/>
      <c r="G100">
        <v>92</v>
      </c>
      <c r="H100" s="3">
        <f t="shared" si="12"/>
        <v>113386.41333214811</v>
      </c>
      <c r="I100" s="13">
        <f t="shared" si="13"/>
        <v>852.31305474553244</v>
      </c>
      <c r="J100" s="3">
        <f t="shared" si="14"/>
        <v>756.54785686684534</v>
      </c>
      <c r="K100" s="13">
        <f t="shared" si="15"/>
        <v>95.765197878687104</v>
      </c>
    </row>
    <row r="101" spans="1:11" x14ac:dyDescent="0.3">
      <c r="A101">
        <v>93</v>
      </c>
      <c r="B101" s="3">
        <f t="shared" si="16"/>
        <v>93428.571428571042</v>
      </c>
      <c r="C101" s="3">
        <f t="shared" si="11"/>
        <v>285.71428571428572</v>
      </c>
      <c r="D101" s="3">
        <f t="shared" si="17"/>
        <v>624.7619047619022</v>
      </c>
      <c r="E101" s="3">
        <f t="shared" si="18"/>
        <v>910.47619047618787</v>
      </c>
      <c r="F101" s="3"/>
      <c r="G101">
        <v>93</v>
      </c>
      <c r="H101" s="3">
        <f t="shared" si="12"/>
        <v>113290.0096996169</v>
      </c>
      <c r="I101" s="13">
        <f t="shared" si="13"/>
        <v>852.31305474553244</v>
      </c>
      <c r="J101" s="3">
        <f t="shared" si="14"/>
        <v>755.90942221432078</v>
      </c>
      <c r="K101" s="13">
        <f t="shared" si="15"/>
        <v>96.403632531211656</v>
      </c>
    </row>
    <row r="102" spans="1:11" x14ac:dyDescent="0.3">
      <c r="A102">
        <v>94</v>
      </c>
      <c r="B102" s="3">
        <f t="shared" si="16"/>
        <v>93142.857142856752</v>
      </c>
      <c r="C102" s="3">
        <f t="shared" si="11"/>
        <v>285.71428571428572</v>
      </c>
      <c r="D102" s="3">
        <f t="shared" si="17"/>
        <v>622.85714285714027</v>
      </c>
      <c r="E102" s="3">
        <f t="shared" si="18"/>
        <v>908.57142857142594</v>
      </c>
      <c r="F102" s="3"/>
      <c r="G102">
        <v>94</v>
      </c>
      <c r="H102" s="3">
        <f t="shared" si="12"/>
        <v>113192.96337620215</v>
      </c>
      <c r="I102" s="13">
        <f t="shared" si="13"/>
        <v>852.31305474553244</v>
      </c>
      <c r="J102" s="3">
        <f t="shared" si="14"/>
        <v>755.26673133077941</v>
      </c>
      <c r="K102" s="13">
        <f t="shared" si="15"/>
        <v>97.046323414753033</v>
      </c>
    </row>
    <row r="103" spans="1:11" x14ac:dyDescent="0.3">
      <c r="A103">
        <v>95</v>
      </c>
      <c r="B103" s="3">
        <f t="shared" si="16"/>
        <v>92857.142857142462</v>
      </c>
      <c r="C103" s="3">
        <f t="shared" si="11"/>
        <v>285.71428571428572</v>
      </c>
      <c r="D103" s="3">
        <f t="shared" si="17"/>
        <v>620.95238095237835</v>
      </c>
      <c r="E103" s="3">
        <f t="shared" si="18"/>
        <v>906.66666666666401</v>
      </c>
      <c r="F103" s="3"/>
      <c r="G103">
        <v>95</v>
      </c>
      <c r="H103" s="3">
        <f t="shared" si="12"/>
        <v>113095.27007729797</v>
      </c>
      <c r="I103" s="13">
        <f t="shared" si="13"/>
        <v>852.31305474553244</v>
      </c>
      <c r="J103" s="3">
        <f t="shared" si="14"/>
        <v>754.6197558413478</v>
      </c>
      <c r="K103" s="13">
        <f t="shared" si="15"/>
        <v>97.693298904184644</v>
      </c>
    </row>
    <row r="104" spans="1:11" x14ac:dyDescent="0.3">
      <c r="A104">
        <v>96</v>
      </c>
      <c r="B104" s="3">
        <f t="shared" si="16"/>
        <v>92571.428571428172</v>
      </c>
      <c r="C104" s="3">
        <f t="shared" si="11"/>
        <v>285.71428571428572</v>
      </c>
      <c r="D104" s="3">
        <f t="shared" si="17"/>
        <v>619.04761904761642</v>
      </c>
      <c r="E104" s="3">
        <f t="shared" si="18"/>
        <v>904.76190476190209</v>
      </c>
      <c r="F104" s="3"/>
      <c r="G104">
        <v>96</v>
      </c>
      <c r="H104" s="3">
        <f t="shared" si="12"/>
        <v>112996.92548973442</v>
      </c>
      <c r="I104" s="13">
        <f t="shared" si="13"/>
        <v>852.31305474553244</v>
      </c>
      <c r="J104" s="3">
        <f t="shared" si="14"/>
        <v>753.96846718198651</v>
      </c>
      <c r="K104" s="13">
        <f t="shared" si="15"/>
        <v>98.344587563545929</v>
      </c>
    </row>
    <row r="105" spans="1:11" x14ac:dyDescent="0.3">
      <c r="A105">
        <v>97</v>
      </c>
      <c r="B105" s="3">
        <f t="shared" si="16"/>
        <v>92285.714285713882</v>
      </c>
      <c r="C105" s="3">
        <f t="shared" si="11"/>
        <v>285.71428571428572</v>
      </c>
      <c r="D105" s="3">
        <f t="shared" si="17"/>
        <v>617.1428571428545</v>
      </c>
      <c r="E105" s="3">
        <f t="shared" si="18"/>
        <v>902.85714285714016</v>
      </c>
      <c r="F105" s="3"/>
      <c r="G105">
        <v>97</v>
      </c>
      <c r="H105" s="3">
        <f t="shared" si="12"/>
        <v>112897.92527158711</v>
      </c>
      <c r="I105" s="13">
        <f t="shared" si="13"/>
        <v>852.31305474553244</v>
      </c>
      <c r="J105" s="3">
        <f t="shared" si="14"/>
        <v>753.31283659822952</v>
      </c>
      <c r="K105" s="13">
        <f t="shared" si="15"/>
        <v>99.000218147302917</v>
      </c>
    </row>
    <row r="106" spans="1:11" x14ac:dyDescent="0.3">
      <c r="A106">
        <v>98</v>
      </c>
      <c r="B106" s="3">
        <f t="shared" si="16"/>
        <v>91999.999999999593</v>
      </c>
      <c r="C106" s="3">
        <f t="shared" si="11"/>
        <v>285.71428571428572</v>
      </c>
      <c r="D106" s="3">
        <f t="shared" si="17"/>
        <v>615.23809523809257</v>
      </c>
      <c r="E106" s="3">
        <f t="shared" si="18"/>
        <v>900.95238095237823</v>
      </c>
      <c r="F106" s="3"/>
      <c r="G106">
        <v>98</v>
      </c>
      <c r="H106" s="3">
        <f t="shared" si="12"/>
        <v>112798.26505198549</v>
      </c>
      <c r="I106" s="13">
        <f t="shared" si="13"/>
        <v>852.31305474553244</v>
      </c>
      <c r="J106" s="3">
        <f t="shared" si="14"/>
        <v>752.6528351439141</v>
      </c>
      <c r="K106" s="13">
        <f t="shared" si="15"/>
        <v>99.660219601618337</v>
      </c>
    </row>
    <row r="107" spans="1:11" x14ac:dyDescent="0.3">
      <c r="A107">
        <v>99</v>
      </c>
      <c r="B107" s="3">
        <f t="shared" si="16"/>
        <v>91714.285714285303</v>
      </c>
      <c r="C107" s="3">
        <f t="shared" si="11"/>
        <v>285.71428571428572</v>
      </c>
      <c r="D107" s="3">
        <f t="shared" si="17"/>
        <v>613.33333333333064</v>
      </c>
      <c r="E107" s="3">
        <f t="shared" si="18"/>
        <v>899.04761904761631</v>
      </c>
      <c r="F107" s="3"/>
      <c r="G107">
        <v>99</v>
      </c>
      <c r="H107" s="3">
        <f t="shared" si="12"/>
        <v>112697.94043091986</v>
      </c>
      <c r="I107" s="13">
        <f t="shared" si="13"/>
        <v>852.31305474553244</v>
      </c>
      <c r="J107" s="3">
        <f t="shared" si="14"/>
        <v>751.98843367990332</v>
      </c>
      <c r="K107" s="13">
        <f t="shared" si="15"/>
        <v>100.32462106562912</v>
      </c>
    </row>
    <row r="108" spans="1:11" x14ac:dyDescent="0.3">
      <c r="A108">
        <v>100</v>
      </c>
      <c r="B108" s="3">
        <f t="shared" si="16"/>
        <v>91428.571428571013</v>
      </c>
      <c r="C108" s="3">
        <f t="shared" si="11"/>
        <v>285.71428571428572</v>
      </c>
      <c r="D108" s="3">
        <f t="shared" si="17"/>
        <v>611.42857142856872</v>
      </c>
      <c r="E108" s="3">
        <f t="shared" si="18"/>
        <v>897.14285714285438</v>
      </c>
      <c r="F108" s="3"/>
      <c r="G108">
        <v>100</v>
      </c>
      <c r="H108" s="3">
        <f t="shared" si="12"/>
        <v>112596.94697904712</v>
      </c>
      <c r="I108" s="13">
        <f t="shared" si="13"/>
        <v>852.31305474553244</v>
      </c>
      <c r="J108" s="3">
        <f t="shared" si="14"/>
        <v>751.31960287279912</v>
      </c>
      <c r="K108" s="13">
        <f t="shared" si="15"/>
        <v>100.99345187273332</v>
      </c>
    </row>
    <row r="109" spans="1:11" x14ac:dyDescent="0.3">
      <c r="A109">
        <v>101</v>
      </c>
      <c r="B109" s="3">
        <f t="shared" si="16"/>
        <v>91142.857142856723</v>
      </c>
      <c r="C109" s="3">
        <f t="shared" si="11"/>
        <v>285.71428571428572</v>
      </c>
      <c r="D109" s="3">
        <f t="shared" si="17"/>
        <v>609.52380952380679</v>
      </c>
      <c r="E109" s="3">
        <f t="shared" si="18"/>
        <v>895.23809523809246</v>
      </c>
      <c r="F109" s="3"/>
      <c r="G109">
        <v>101</v>
      </c>
      <c r="H109" s="3">
        <f t="shared" si="12"/>
        <v>112495.28023749523</v>
      </c>
      <c r="I109" s="13">
        <f t="shared" si="13"/>
        <v>852.31305474553244</v>
      </c>
      <c r="J109" s="3">
        <f t="shared" si="14"/>
        <v>750.64631319364753</v>
      </c>
      <c r="K109" s="13">
        <f t="shared" si="15"/>
        <v>101.66674155188491</v>
      </c>
    </row>
    <row r="110" spans="1:11" x14ac:dyDescent="0.3">
      <c r="A110">
        <v>102</v>
      </c>
      <c r="B110" s="3">
        <f t="shared" si="16"/>
        <v>90857.142857142433</v>
      </c>
      <c r="C110" s="3">
        <f t="shared" si="11"/>
        <v>285.71428571428572</v>
      </c>
      <c r="D110" s="3">
        <f t="shared" si="17"/>
        <v>607.61904761904486</v>
      </c>
      <c r="E110" s="3">
        <f t="shared" si="18"/>
        <v>893.33333333333053</v>
      </c>
      <c r="F110" s="3"/>
      <c r="G110">
        <v>102</v>
      </c>
      <c r="H110" s="3">
        <f t="shared" si="12"/>
        <v>112392.93571766633</v>
      </c>
      <c r="I110" s="13">
        <f t="shared" si="13"/>
        <v>852.31305474553244</v>
      </c>
      <c r="J110" s="3">
        <f t="shared" si="14"/>
        <v>749.96853491663489</v>
      </c>
      <c r="K110" s="13">
        <f t="shared" si="15"/>
        <v>102.34451982889755</v>
      </c>
    </row>
    <row r="111" spans="1:11" x14ac:dyDescent="0.3">
      <c r="A111">
        <v>103</v>
      </c>
      <c r="B111" s="3">
        <f t="shared" si="16"/>
        <v>90571.428571428143</v>
      </c>
      <c r="C111" s="3">
        <f t="shared" si="11"/>
        <v>285.71428571428572</v>
      </c>
      <c r="D111" s="3">
        <f t="shared" si="17"/>
        <v>605.71428571428294</v>
      </c>
      <c r="E111" s="3">
        <f t="shared" si="18"/>
        <v>891.4285714285686</v>
      </c>
      <c r="F111" s="3"/>
      <c r="G111">
        <v>103</v>
      </c>
      <c r="H111" s="3">
        <f t="shared" si="12"/>
        <v>112289.90890103858</v>
      </c>
      <c r="I111" s="13">
        <f t="shared" si="13"/>
        <v>852.31305474553244</v>
      </c>
      <c r="J111" s="3">
        <f t="shared" si="14"/>
        <v>749.28623811777561</v>
      </c>
      <c r="K111" s="13">
        <f t="shared" si="15"/>
        <v>103.02681662775683</v>
      </c>
    </row>
    <row r="112" spans="1:11" x14ac:dyDescent="0.3">
      <c r="A112">
        <v>104</v>
      </c>
      <c r="B112" s="3">
        <f t="shared" si="16"/>
        <v>90285.714285713853</v>
      </c>
      <c r="C112" s="3">
        <f t="shared" si="11"/>
        <v>285.71428571428572</v>
      </c>
      <c r="D112" s="3">
        <f t="shared" si="17"/>
        <v>603.80952380952101</v>
      </c>
      <c r="E112" s="3">
        <f t="shared" si="18"/>
        <v>889.52380952380668</v>
      </c>
      <c r="F112" s="3"/>
      <c r="G112">
        <v>104</v>
      </c>
      <c r="H112" s="3">
        <f t="shared" si="12"/>
        <v>112186.19523896664</v>
      </c>
      <c r="I112" s="13">
        <f t="shared" si="13"/>
        <v>852.31305474553244</v>
      </c>
      <c r="J112" s="3">
        <f t="shared" si="14"/>
        <v>748.59939267359061</v>
      </c>
      <c r="K112" s="13">
        <f t="shared" si="15"/>
        <v>103.71366207194183</v>
      </c>
    </row>
    <row r="113" spans="1:11" x14ac:dyDescent="0.3">
      <c r="A113">
        <v>105</v>
      </c>
      <c r="B113" s="3">
        <f t="shared" si="16"/>
        <v>89999.999999999563</v>
      </c>
      <c r="C113" s="3">
        <f t="shared" si="11"/>
        <v>285.71428571428572</v>
      </c>
      <c r="D113" s="3">
        <f t="shared" si="17"/>
        <v>601.90476190475908</v>
      </c>
      <c r="E113" s="3">
        <f t="shared" si="18"/>
        <v>887.61904761904475</v>
      </c>
      <c r="F113" s="3"/>
      <c r="G113">
        <v>105</v>
      </c>
      <c r="H113" s="3">
        <f t="shared" si="12"/>
        <v>112081.79015248088</v>
      </c>
      <c r="I113" s="13">
        <f t="shared" si="13"/>
        <v>852.31305474553244</v>
      </c>
      <c r="J113" s="3">
        <f t="shared" si="14"/>
        <v>747.9079682597777</v>
      </c>
      <c r="K113" s="13">
        <f t="shared" si="15"/>
        <v>104.40508648575474</v>
      </c>
    </row>
    <row r="114" spans="1:11" x14ac:dyDescent="0.3">
      <c r="A114">
        <v>106</v>
      </c>
      <c r="B114" s="3">
        <f t="shared" si="16"/>
        <v>89714.285714285274</v>
      </c>
      <c r="C114" s="3">
        <f t="shared" si="11"/>
        <v>285.71428571428572</v>
      </c>
      <c r="D114" s="3">
        <f t="shared" si="17"/>
        <v>599.99999999999716</v>
      </c>
      <c r="E114" s="3">
        <f t="shared" si="18"/>
        <v>885.71428571428282</v>
      </c>
      <c r="F114" s="3"/>
      <c r="G114">
        <v>106</v>
      </c>
      <c r="H114" s="3">
        <f t="shared" si="12"/>
        <v>111976.68903208523</v>
      </c>
      <c r="I114" s="13">
        <f t="shared" si="13"/>
        <v>852.31305474553244</v>
      </c>
      <c r="J114" s="3">
        <f t="shared" si="14"/>
        <v>747.21193434987265</v>
      </c>
      <c r="K114" s="13">
        <f t="shared" si="15"/>
        <v>105.10112039565979</v>
      </c>
    </row>
    <row r="115" spans="1:11" x14ac:dyDescent="0.3">
      <c r="A115">
        <v>107</v>
      </c>
      <c r="B115" s="3">
        <f t="shared" si="16"/>
        <v>89428.571428570984</v>
      </c>
      <c r="C115" s="3">
        <f t="shared" si="11"/>
        <v>285.71428571428572</v>
      </c>
      <c r="D115" s="3">
        <f t="shared" si="17"/>
        <v>598.09523809523523</v>
      </c>
      <c r="E115" s="3">
        <f t="shared" si="18"/>
        <v>883.8095238095209</v>
      </c>
      <c r="F115" s="3"/>
      <c r="G115">
        <v>107</v>
      </c>
      <c r="H115" s="3">
        <f t="shared" si="12"/>
        <v>111870.8872375536</v>
      </c>
      <c r="I115" s="13">
        <f t="shared" si="13"/>
        <v>852.31305474553244</v>
      </c>
      <c r="J115" s="3">
        <f t="shared" si="14"/>
        <v>746.51126021390155</v>
      </c>
      <c r="K115" s="13">
        <f t="shared" si="15"/>
        <v>105.80179453163089</v>
      </c>
    </row>
    <row r="116" spans="1:11" x14ac:dyDescent="0.3">
      <c r="A116">
        <v>108</v>
      </c>
      <c r="B116" s="3">
        <f t="shared" si="16"/>
        <v>89142.857142856694</v>
      </c>
      <c r="C116" s="3">
        <f t="shared" si="11"/>
        <v>285.71428571428572</v>
      </c>
      <c r="D116" s="3">
        <f t="shared" si="17"/>
        <v>596.1904761904733</v>
      </c>
      <c r="E116" s="3">
        <f t="shared" si="18"/>
        <v>881.90476190475897</v>
      </c>
      <c r="F116" s="3"/>
      <c r="G116">
        <v>108</v>
      </c>
      <c r="H116" s="3">
        <f t="shared" si="12"/>
        <v>111764.38009772509</v>
      </c>
      <c r="I116" s="13">
        <f t="shared" si="13"/>
        <v>852.31305474553244</v>
      </c>
      <c r="J116" s="3">
        <f t="shared" si="14"/>
        <v>745.8059149170241</v>
      </c>
      <c r="K116" s="13">
        <f t="shared" si="15"/>
        <v>106.50713982850834</v>
      </c>
    </row>
    <row r="117" spans="1:11" x14ac:dyDescent="0.3">
      <c r="A117">
        <v>109</v>
      </c>
      <c r="B117" s="3">
        <f t="shared" si="16"/>
        <v>88857.142857142404</v>
      </c>
      <c r="C117" s="3">
        <f t="shared" si="11"/>
        <v>285.71428571428572</v>
      </c>
      <c r="D117" s="3">
        <f t="shared" si="17"/>
        <v>594.28571428571138</v>
      </c>
      <c r="E117" s="3">
        <f t="shared" si="18"/>
        <v>879.99999999999704</v>
      </c>
      <c r="F117" s="3"/>
      <c r="G117">
        <v>109</v>
      </c>
      <c r="H117" s="3">
        <f t="shared" si="12"/>
        <v>111657.16291029773</v>
      </c>
      <c r="I117" s="13">
        <f t="shared" si="13"/>
        <v>852.31305474553244</v>
      </c>
      <c r="J117" s="3">
        <f t="shared" si="14"/>
        <v>745.09586731816739</v>
      </c>
      <c r="K117" s="13">
        <f t="shared" si="15"/>
        <v>107.21718742736505</v>
      </c>
    </row>
    <row r="118" spans="1:11" x14ac:dyDescent="0.3">
      <c r="A118">
        <v>110</v>
      </c>
      <c r="B118" s="3">
        <f t="shared" si="16"/>
        <v>88571.428571428114</v>
      </c>
      <c r="C118" s="3">
        <f t="shared" si="11"/>
        <v>285.71428571428572</v>
      </c>
      <c r="D118" s="3">
        <f t="shared" si="17"/>
        <v>592.38095238094945</v>
      </c>
      <c r="E118" s="3">
        <f t="shared" si="18"/>
        <v>878.09523809523512</v>
      </c>
      <c r="F118" s="3"/>
      <c r="G118">
        <v>110</v>
      </c>
      <c r="H118" s="3">
        <f t="shared" si="12"/>
        <v>111549.23094162084</v>
      </c>
      <c r="I118" s="13">
        <f t="shared" si="13"/>
        <v>852.31305474553244</v>
      </c>
      <c r="J118" s="3">
        <f t="shared" si="14"/>
        <v>744.3810860686516</v>
      </c>
      <c r="K118" s="13">
        <f t="shared" si="15"/>
        <v>107.93196867688084</v>
      </c>
    </row>
    <row r="119" spans="1:11" x14ac:dyDescent="0.3">
      <c r="A119">
        <v>111</v>
      </c>
      <c r="B119" s="3">
        <f t="shared" si="16"/>
        <v>88285.714285713824</v>
      </c>
      <c r="C119" s="3">
        <f t="shared" si="11"/>
        <v>285.71428571428572</v>
      </c>
      <c r="D119" s="3">
        <f t="shared" si="17"/>
        <v>590.47619047618741</v>
      </c>
      <c r="E119" s="3">
        <f t="shared" si="18"/>
        <v>876.19047619047319</v>
      </c>
      <c r="F119" s="3"/>
      <c r="G119">
        <v>111</v>
      </c>
      <c r="H119" s="3">
        <f t="shared" si="12"/>
        <v>111440.57942648612</v>
      </c>
      <c r="I119" s="13">
        <f t="shared" si="13"/>
        <v>852.31305474553244</v>
      </c>
      <c r="J119" s="3">
        <f t="shared" si="14"/>
        <v>743.66153961080568</v>
      </c>
      <c r="K119" s="13">
        <f t="shared" si="15"/>
        <v>108.65151513472676</v>
      </c>
    </row>
    <row r="120" spans="1:11" x14ac:dyDescent="0.3">
      <c r="A120">
        <v>112</v>
      </c>
      <c r="B120" s="3">
        <f t="shared" si="16"/>
        <v>87999.999999999534</v>
      </c>
      <c r="C120" s="3">
        <f t="shared" si="11"/>
        <v>285.71428571428572</v>
      </c>
      <c r="D120" s="3">
        <f t="shared" si="17"/>
        <v>588.57142857142549</v>
      </c>
      <c r="E120" s="3">
        <f t="shared" si="18"/>
        <v>874.28571428571126</v>
      </c>
      <c r="F120" s="3"/>
      <c r="G120">
        <v>112</v>
      </c>
      <c r="H120" s="3">
        <f t="shared" si="12"/>
        <v>111331.20356791715</v>
      </c>
      <c r="I120" s="13">
        <f t="shared" si="13"/>
        <v>852.31305474553244</v>
      </c>
      <c r="J120" s="3">
        <f t="shared" si="14"/>
        <v>742.93719617657416</v>
      </c>
      <c r="K120" s="13">
        <f t="shared" si="15"/>
        <v>109.37585856895828</v>
      </c>
    </row>
    <row r="121" spans="1:11" x14ac:dyDescent="0.3">
      <c r="A121">
        <v>113</v>
      </c>
      <c r="B121" s="3">
        <f t="shared" si="16"/>
        <v>87714.285714285244</v>
      </c>
      <c r="C121" s="3">
        <f t="shared" si="11"/>
        <v>285.71428571428572</v>
      </c>
      <c r="D121" s="3">
        <f t="shared" si="17"/>
        <v>586.66666666666356</v>
      </c>
      <c r="E121" s="3">
        <f t="shared" si="18"/>
        <v>872.38095238094934</v>
      </c>
      <c r="F121" s="3"/>
      <c r="G121">
        <v>113</v>
      </c>
      <c r="H121" s="3">
        <f t="shared" si="12"/>
        <v>111221.09853695774</v>
      </c>
      <c r="I121" s="13">
        <f t="shared" si="13"/>
        <v>852.31305474553244</v>
      </c>
      <c r="J121" s="3">
        <f t="shared" si="14"/>
        <v>742.20802378611438</v>
      </c>
      <c r="K121" s="13">
        <f t="shared" si="15"/>
        <v>110.10503095941806</v>
      </c>
    </row>
    <row r="122" spans="1:11" x14ac:dyDescent="0.3">
      <c r="A122">
        <v>114</v>
      </c>
      <c r="B122" s="3">
        <f t="shared" si="16"/>
        <v>87428.571428570955</v>
      </c>
      <c r="C122" s="3">
        <f t="shared" si="11"/>
        <v>285.71428571428572</v>
      </c>
      <c r="D122" s="3">
        <f t="shared" si="17"/>
        <v>584.76190476190163</v>
      </c>
      <c r="E122" s="3">
        <f t="shared" si="18"/>
        <v>870.47619047618741</v>
      </c>
      <c r="F122" s="3"/>
      <c r="G122">
        <v>114</v>
      </c>
      <c r="H122" s="3">
        <f t="shared" si="12"/>
        <v>111110.25947245859</v>
      </c>
      <c r="I122" s="13">
        <f t="shared" si="13"/>
        <v>852.31305474553244</v>
      </c>
      <c r="J122" s="3">
        <f t="shared" si="14"/>
        <v>741.47399024638503</v>
      </c>
      <c r="K122" s="13">
        <f t="shared" si="15"/>
        <v>110.83906449914741</v>
      </c>
    </row>
    <row r="123" spans="1:11" x14ac:dyDescent="0.3">
      <c r="A123">
        <v>115</v>
      </c>
      <c r="B123" s="3">
        <f t="shared" si="16"/>
        <v>87142.857142856665</v>
      </c>
      <c r="C123" s="3">
        <f t="shared" si="11"/>
        <v>285.71428571428572</v>
      </c>
      <c r="D123" s="3">
        <f t="shared" si="17"/>
        <v>582.85714285713971</v>
      </c>
      <c r="E123" s="3">
        <f t="shared" si="18"/>
        <v>868.57142857142549</v>
      </c>
      <c r="F123" s="3"/>
      <c r="G123">
        <v>115</v>
      </c>
      <c r="H123" s="3">
        <f t="shared" si="12"/>
        <v>110998.68148086278</v>
      </c>
      <c r="I123" s="13">
        <f t="shared" si="13"/>
        <v>852.31305474553244</v>
      </c>
      <c r="J123" s="3">
        <f t="shared" si="14"/>
        <v>740.73506314972406</v>
      </c>
      <c r="K123" s="13">
        <f t="shared" si="15"/>
        <v>111.57799159580838</v>
      </c>
    </row>
    <row r="124" spans="1:11" x14ac:dyDescent="0.3">
      <c r="A124">
        <v>116</v>
      </c>
      <c r="B124" s="3">
        <f t="shared" si="16"/>
        <v>86857.142857142375</v>
      </c>
      <c r="C124" s="3">
        <f t="shared" si="11"/>
        <v>285.71428571428572</v>
      </c>
      <c r="D124" s="3">
        <f t="shared" si="17"/>
        <v>580.95238095237778</v>
      </c>
      <c r="E124" s="3">
        <f t="shared" si="18"/>
        <v>866.66666666666356</v>
      </c>
      <c r="F124" s="3"/>
      <c r="G124">
        <v>116</v>
      </c>
      <c r="H124" s="3">
        <f t="shared" si="12"/>
        <v>110886.35963598966</v>
      </c>
      <c r="I124" s="13">
        <f t="shared" si="13"/>
        <v>852.31305474553244</v>
      </c>
      <c r="J124" s="3">
        <f t="shared" si="14"/>
        <v>739.99120987241861</v>
      </c>
      <c r="K124" s="13">
        <f t="shared" si="15"/>
        <v>112.32184487311383</v>
      </c>
    </row>
    <row r="125" spans="1:11" x14ac:dyDescent="0.3">
      <c r="A125">
        <v>117</v>
      </c>
      <c r="B125" s="3">
        <f t="shared" si="16"/>
        <v>86571.428571428085</v>
      </c>
      <c r="C125" s="3">
        <f t="shared" si="11"/>
        <v>285.71428571428572</v>
      </c>
      <c r="D125" s="3">
        <f t="shared" si="17"/>
        <v>579.04761904761585</v>
      </c>
      <c r="E125" s="3">
        <f t="shared" si="18"/>
        <v>864.76190476190163</v>
      </c>
      <c r="F125" s="3"/>
      <c r="G125">
        <v>117</v>
      </c>
      <c r="H125" s="3">
        <f t="shared" si="12"/>
        <v>110773.28897881739</v>
      </c>
      <c r="I125" s="13">
        <f t="shared" si="13"/>
        <v>852.31305474553244</v>
      </c>
      <c r="J125" s="3">
        <f t="shared" si="14"/>
        <v>739.2423975732645</v>
      </c>
      <c r="K125" s="13">
        <f t="shared" si="15"/>
        <v>113.07065717226794</v>
      </c>
    </row>
    <row r="126" spans="1:11" x14ac:dyDescent="0.3">
      <c r="A126">
        <v>118</v>
      </c>
      <c r="B126" s="3">
        <f t="shared" si="16"/>
        <v>86285.714285713795</v>
      </c>
      <c r="C126" s="3">
        <f t="shared" si="11"/>
        <v>285.71428571428572</v>
      </c>
      <c r="D126" s="3">
        <f t="shared" si="17"/>
        <v>577.14285714285393</v>
      </c>
      <c r="E126" s="3">
        <f t="shared" si="18"/>
        <v>862.85714285713971</v>
      </c>
      <c r="F126" s="3"/>
      <c r="G126">
        <v>118</v>
      </c>
      <c r="H126" s="3">
        <f t="shared" si="12"/>
        <v>110659.46451726397</v>
      </c>
      <c r="I126" s="13">
        <f t="shared" si="13"/>
        <v>852.31305474553244</v>
      </c>
      <c r="J126" s="3">
        <f t="shared" si="14"/>
        <v>738.48859319211601</v>
      </c>
      <c r="K126" s="13">
        <f t="shared" si="15"/>
        <v>113.82446155341643</v>
      </c>
    </row>
    <row r="127" spans="1:11" x14ac:dyDescent="0.3">
      <c r="A127">
        <v>119</v>
      </c>
      <c r="B127" s="3">
        <f t="shared" si="16"/>
        <v>85999.999999999505</v>
      </c>
      <c r="C127" s="3">
        <f t="shared" si="11"/>
        <v>285.71428571428572</v>
      </c>
      <c r="D127" s="3">
        <f t="shared" si="17"/>
        <v>575.238095238092</v>
      </c>
      <c r="E127" s="3">
        <f t="shared" si="18"/>
        <v>860.95238095237778</v>
      </c>
      <c r="F127" s="3"/>
      <c r="G127">
        <v>119</v>
      </c>
      <c r="H127" s="3">
        <f t="shared" si="12"/>
        <v>110544.88122596686</v>
      </c>
      <c r="I127" s="13">
        <f t="shared" si="13"/>
        <v>852.31305474553244</v>
      </c>
      <c r="J127" s="3">
        <f t="shared" si="14"/>
        <v>737.72976344842652</v>
      </c>
      <c r="K127" s="13">
        <f t="shared" si="15"/>
        <v>114.58329129710592</v>
      </c>
    </row>
    <row r="128" spans="1:11" x14ac:dyDescent="0.3">
      <c r="A128">
        <v>120</v>
      </c>
      <c r="B128" s="3">
        <f t="shared" si="16"/>
        <v>85714.285714285215</v>
      </c>
      <c r="C128" s="3">
        <f t="shared" si="11"/>
        <v>285.71428571428572</v>
      </c>
      <c r="D128" s="3">
        <f t="shared" si="17"/>
        <v>573.33333333333007</v>
      </c>
      <c r="E128" s="3">
        <f t="shared" si="18"/>
        <v>859.04761904761585</v>
      </c>
      <c r="F128" s="3"/>
      <c r="G128">
        <v>120</v>
      </c>
      <c r="H128" s="3">
        <f t="shared" si="12"/>
        <v>110429.5340460611</v>
      </c>
      <c r="I128" s="13">
        <f t="shared" si="13"/>
        <v>852.31305474553244</v>
      </c>
      <c r="J128" s="3">
        <f t="shared" si="14"/>
        <v>736.96587483977919</v>
      </c>
      <c r="K128" s="13">
        <f t="shared" si="15"/>
        <v>115.34717990575325</v>
      </c>
    </row>
    <row r="129" spans="1:11" x14ac:dyDescent="0.3">
      <c r="A129">
        <v>121</v>
      </c>
      <c r="B129" s="3">
        <f t="shared" si="16"/>
        <v>85428.571428570925</v>
      </c>
      <c r="C129" s="3">
        <f t="shared" si="11"/>
        <v>285.71428571428572</v>
      </c>
      <c r="D129" s="3">
        <f t="shared" si="17"/>
        <v>571.42857142856815</v>
      </c>
      <c r="E129" s="3">
        <f t="shared" si="18"/>
        <v>857.14285714285393</v>
      </c>
      <c r="F129" s="3"/>
      <c r="G129">
        <v>121</v>
      </c>
      <c r="H129" s="3">
        <f t="shared" si="12"/>
        <v>110313.41788495598</v>
      </c>
      <c r="I129" s="13">
        <f t="shared" si="13"/>
        <v>852.31305474553244</v>
      </c>
      <c r="J129" s="3">
        <f t="shared" si="14"/>
        <v>736.19689364040744</v>
      </c>
      <c r="K129" s="13">
        <f t="shared" si="15"/>
        <v>116.116161105125</v>
      </c>
    </row>
    <row r="130" spans="1:11" x14ac:dyDescent="0.3">
      <c r="A130">
        <v>122</v>
      </c>
      <c r="B130" s="3">
        <f t="shared" si="16"/>
        <v>85142.857142856636</v>
      </c>
      <c r="C130" s="3">
        <f t="shared" si="11"/>
        <v>285.71428571428572</v>
      </c>
      <c r="D130" s="3">
        <f t="shared" si="17"/>
        <v>569.52380952380622</v>
      </c>
      <c r="E130" s="3">
        <f t="shared" si="18"/>
        <v>855.238095238092</v>
      </c>
      <c r="F130" s="3"/>
      <c r="G130">
        <v>122</v>
      </c>
      <c r="H130" s="3">
        <f t="shared" si="12"/>
        <v>110196.52761611015</v>
      </c>
      <c r="I130" s="13">
        <f t="shared" si="13"/>
        <v>852.31305474553244</v>
      </c>
      <c r="J130" s="3">
        <f t="shared" si="14"/>
        <v>735.42278589970658</v>
      </c>
      <c r="K130" s="13">
        <f t="shared" si="15"/>
        <v>116.89026884582586</v>
      </c>
    </row>
    <row r="131" spans="1:11" x14ac:dyDescent="0.3">
      <c r="A131">
        <v>123</v>
      </c>
      <c r="B131" s="3">
        <f t="shared" si="16"/>
        <v>84857.142857142346</v>
      </c>
      <c r="C131" s="3">
        <f t="shared" si="11"/>
        <v>285.71428571428572</v>
      </c>
      <c r="D131" s="3">
        <f t="shared" si="17"/>
        <v>567.6190476190443</v>
      </c>
      <c r="E131" s="3">
        <f t="shared" si="18"/>
        <v>853.33333333333007</v>
      </c>
      <c r="F131" s="3"/>
      <c r="G131">
        <v>123</v>
      </c>
      <c r="H131" s="3">
        <f t="shared" si="12"/>
        <v>110078.85807880535</v>
      </c>
      <c r="I131" s="13">
        <f t="shared" si="13"/>
        <v>852.31305474553244</v>
      </c>
      <c r="J131" s="3">
        <f t="shared" si="14"/>
        <v>734.6435174407344</v>
      </c>
      <c r="K131" s="13">
        <f t="shared" si="15"/>
        <v>117.66953730479804</v>
      </c>
    </row>
    <row r="132" spans="1:11" x14ac:dyDescent="0.3">
      <c r="A132">
        <v>124</v>
      </c>
      <c r="B132" s="3">
        <f t="shared" si="16"/>
        <v>84571.428571428056</v>
      </c>
      <c r="C132" s="3">
        <f t="shared" si="11"/>
        <v>285.71428571428572</v>
      </c>
      <c r="D132" s="3">
        <f t="shared" si="17"/>
        <v>565.71428571428237</v>
      </c>
      <c r="E132" s="3">
        <f t="shared" si="18"/>
        <v>851.42857142856815</v>
      </c>
      <c r="F132" s="3"/>
      <c r="G132">
        <v>124</v>
      </c>
      <c r="H132" s="3">
        <f t="shared" si="12"/>
        <v>109960.40407791852</v>
      </c>
      <c r="I132" s="13">
        <f t="shared" si="13"/>
        <v>852.31305474553244</v>
      </c>
      <c r="J132" s="3">
        <f t="shared" si="14"/>
        <v>733.8590538587024</v>
      </c>
      <c r="K132" s="13">
        <f t="shared" si="15"/>
        <v>118.45400088683004</v>
      </c>
    </row>
    <row r="133" spans="1:11" x14ac:dyDescent="0.3">
      <c r="A133">
        <v>125</v>
      </c>
      <c r="B133" s="3">
        <f t="shared" si="16"/>
        <v>84285.714285713766</v>
      </c>
      <c r="C133" s="3">
        <f t="shared" si="11"/>
        <v>285.71428571428572</v>
      </c>
      <c r="D133" s="3">
        <f t="shared" si="17"/>
        <v>563.80952380952044</v>
      </c>
      <c r="E133" s="3">
        <f t="shared" si="18"/>
        <v>849.52380952380622</v>
      </c>
      <c r="F133" s="3"/>
      <c r="G133">
        <v>125</v>
      </c>
      <c r="H133" s="3">
        <f t="shared" si="12"/>
        <v>109841.16038369245</v>
      </c>
      <c r="I133" s="13">
        <f t="shared" si="13"/>
        <v>852.31305474553244</v>
      </c>
      <c r="J133" s="3">
        <f t="shared" si="14"/>
        <v>733.06936051945684</v>
      </c>
      <c r="K133" s="13">
        <f t="shared" si="15"/>
        <v>119.2436942260756</v>
      </c>
    </row>
    <row r="134" spans="1:11" x14ac:dyDescent="0.3">
      <c r="A134">
        <v>126</v>
      </c>
      <c r="B134" s="3">
        <f t="shared" si="16"/>
        <v>83999.999999999476</v>
      </c>
      <c r="C134" s="3">
        <f t="shared" si="11"/>
        <v>285.71428571428572</v>
      </c>
      <c r="D134" s="3">
        <f t="shared" si="17"/>
        <v>561.90476190475852</v>
      </c>
      <c r="E134" s="3">
        <f t="shared" si="18"/>
        <v>847.6190476190443</v>
      </c>
      <c r="F134" s="3"/>
      <c r="G134">
        <v>126</v>
      </c>
      <c r="H134" s="3">
        <f t="shared" si="12"/>
        <v>109721.12173150487</v>
      </c>
      <c r="I134" s="13">
        <f t="shared" si="13"/>
        <v>852.31305474553244</v>
      </c>
      <c r="J134" s="3">
        <f t="shared" si="14"/>
        <v>732.27440255794966</v>
      </c>
      <c r="K134" s="13">
        <f t="shared" si="15"/>
        <v>120.03865218758278</v>
      </c>
    </row>
    <row r="135" spans="1:11" x14ac:dyDescent="0.3">
      <c r="A135">
        <v>127</v>
      </c>
      <c r="B135" s="3">
        <f t="shared" si="16"/>
        <v>83714.285714285186</v>
      </c>
      <c r="C135" s="3">
        <f t="shared" si="11"/>
        <v>285.71428571428572</v>
      </c>
      <c r="D135" s="3">
        <f t="shared" si="17"/>
        <v>559.99999999999659</v>
      </c>
      <c r="E135" s="3">
        <f t="shared" si="18"/>
        <v>845.71428571428237</v>
      </c>
      <c r="F135" s="3"/>
      <c r="G135">
        <v>127</v>
      </c>
      <c r="H135" s="3">
        <f t="shared" si="12"/>
        <v>109600.28282163604</v>
      </c>
      <c r="I135" s="13">
        <f t="shared" si="13"/>
        <v>852.31305474553244</v>
      </c>
      <c r="J135" s="3">
        <f t="shared" si="14"/>
        <v>731.47414487669914</v>
      </c>
      <c r="K135" s="13">
        <f t="shared" si="15"/>
        <v>120.8389098688333</v>
      </c>
    </row>
    <row r="136" spans="1:11" x14ac:dyDescent="0.3">
      <c r="A136">
        <v>128</v>
      </c>
      <c r="B136" s="3">
        <f t="shared" si="16"/>
        <v>83428.571428570896</v>
      </c>
      <c r="C136" s="3">
        <f t="shared" si="11"/>
        <v>285.71428571428572</v>
      </c>
      <c r="D136" s="3">
        <f t="shared" si="17"/>
        <v>558.09523809523466</v>
      </c>
      <c r="E136" s="3">
        <f t="shared" si="18"/>
        <v>843.80952380952044</v>
      </c>
      <c r="F136" s="3"/>
      <c r="G136">
        <v>128</v>
      </c>
      <c r="H136" s="3">
        <f t="shared" si="12"/>
        <v>109478.63831903474</v>
      </c>
      <c r="I136" s="13">
        <f t="shared" si="13"/>
        <v>852.31305474553244</v>
      </c>
      <c r="J136" s="3">
        <f t="shared" si="14"/>
        <v>730.66855214424027</v>
      </c>
      <c r="K136" s="13">
        <f t="shared" si="15"/>
        <v>121.64450260129217</v>
      </c>
    </row>
    <row r="137" spans="1:11" x14ac:dyDescent="0.3">
      <c r="A137">
        <v>129</v>
      </c>
      <c r="B137" s="3">
        <f t="shared" si="16"/>
        <v>83142.857142856607</v>
      </c>
      <c r="C137" s="3">
        <f t="shared" si="11"/>
        <v>285.71428571428572</v>
      </c>
      <c r="D137" s="3">
        <f t="shared" si="17"/>
        <v>556.19047619047262</v>
      </c>
      <c r="E137" s="3">
        <f t="shared" si="18"/>
        <v>841.90476190475829</v>
      </c>
      <c r="F137" s="3"/>
      <c r="G137">
        <v>129</v>
      </c>
      <c r="H137" s="3">
        <f t="shared" si="12"/>
        <v>109356.18285308278</v>
      </c>
      <c r="I137" s="13">
        <f t="shared" si="13"/>
        <v>852.31305474553244</v>
      </c>
      <c r="J137" s="3">
        <f t="shared" si="14"/>
        <v>729.85758879356501</v>
      </c>
      <c r="K137" s="13">
        <f t="shared" si="15"/>
        <v>122.45546595196743</v>
      </c>
    </row>
    <row r="138" spans="1:11" x14ac:dyDescent="0.3">
      <c r="A138">
        <v>130</v>
      </c>
      <c r="B138" s="3">
        <f t="shared" si="16"/>
        <v>82857.142857142317</v>
      </c>
      <c r="C138" s="3">
        <f t="shared" ref="C138:C201" si="19">$B$2/$B$4</f>
        <v>285.71428571428572</v>
      </c>
      <c r="D138" s="3">
        <f t="shared" si="17"/>
        <v>554.2857142857107</v>
      </c>
      <c r="E138" s="3">
        <f t="shared" si="18"/>
        <v>839.99999999999636</v>
      </c>
      <c r="F138" s="3"/>
      <c r="G138">
        <v>130</v>
      </c>
      <c r="H138" s="3">
        <f t="shared" ref="H138:H201" si="20">H137-K138</f>
        <v>109232.91101735779</v>
      </c>
      <c r="I138" s="13">
        <f t="shared" ref="I138:I201" si="21">PMT($B$3, $B$4, -$B$2)</f>
        <v>852.31305474553244</v>
      </c>
      <c r="J138" s="3">
        <f t="shared" ref="J138:J201" si="22">H137*$B$3</f>
        <v>729.04121902055192</v>
      </c>
      <c r="K138" s="13">
        <f t="shared" ref="K138:K201" si="23">I138-J138</f>
        <v>123.27183572498052</v>
      </c>
    </row>
    <row r="139" spans="1:11" x14ac:dyDescent="0.3">
      <c r="A139">
        <v>131</v>
      </c>
      <c r="B139" s="3">
        <f t="shared" si="16"/>
        <v>82571.428571428027</v>
      </c>
      <c r="C139" s="3">
        <f t="shared" si="19"/>
        <v>285.71428571428572</v>
      </c>
      <c r="D139" s="3">
        <f t="shared" si="17"/>
        <v>552.38095238094877</v>
      </c>
      <c r="E139" s="3">
        <f t="shared" si="18"/>
        <v>838.09523809523444</v>
      </c>
      <c r="F139" s="3"/>
      <c r="G139">
        <v>131</v>
      </c>
      <c r="H139" s="3">
        <f t="shared" si="20"/>
        <v>109108.81736939464</v>
      </c>
      <c r="I139" s="13">
        <f t="shared" si="21"/>
        <v>852.31305474553244</v>
      </c>
      <c r="J139" s="3">
        <f t="shared" si="22"/>
        <v>728.21940678238536</v>
      </c>
      <c r="K139" s="13">
        <f t="shared" si="23"/>
        <v>124.09364796314708</v>
      </c>
    </row>
    <row r="140" spans="1:11" x14ac:dyDescent="0.3">
      <c r="A140">
        <v>132</v>
      </c>
      <c r="B140" s="3">
        <f t="shared" si="16"/>
        <v>82285.714285713737</v>
      </c>
      <c r="C140" s="3">
        <f t="shared" si="19"/>
        <v>285.71428571428572</v>
      </c>
      <c r="D140" s="3">
        <f t="shared" si="17"/>
        <v>550.47619047618684</v>
      </c>
      <c r="E140" s="3">
        <f t="shared" si="18"/>
        <v>836.19047619047251</v>
      </c>
      <c r="F140" s="3"/>
      <c r="G140">
        <v>132</v>
      </c>
      <c r="H140" s="3">
        <f t="shared" si="20"/>
        <v>108983.89643044508</v>
      </c>
      <c r="I140" s="13">
        <f t="shared" si="21"/>
        <v>852.31305474553244</v>
      </c>
      <c r="J140" s="3">
        <f t="shared" si="22"/>
        <v>727.3921157959644</v>
      </c>
      <c r="K140" s="13">
        <f t="shared" si="23"/>
        <v>124.92093894956804</v>
      </c>
    </row>
    <row r="141" spans="1:11" x14ac:dyDescent="0.3">
      <c r="A141">
        <v>133</v>
      </c>
      <c r="B141" s="3">
        <f t="shared" si="16"/>
        <v>81999.999999999447</v>
      </c>
      <c r="C141" s="3">
        <f t="shared" si="19"/>
        <v>285.71428571428572</v>
      </c>
      <c r="D141" s="3">
        <f t="shared" si="17"/>
        <v>548.57142857142492</v>
      </c>
      <c r="E141" s="3">
        <f t="shared" si="18"/>
        <v>834.28571428571058</v>
      </c>
      <c r="F141" s="3"/>
      <c r="G141">
        <v>133</v>
      </c>
      <c r="H141" s="3">
        <f t="shared" si="20"/>
        <v>108858.14268523584</v>
      </c>
      <c r="I141" s="13">
        <f t="shared" si="21"/>
        <v>852.31305474553244</v>
      </c>
      <c r="J141" s="3">
        <f t="shared" si="22"/>
        <v>726.55930953630059</v>
      </c>
      <c r="K141" s="13">
        <f t="shared" si="23"/>
        <v>125.75374520923185</v>
      </c>
    </row>
    <row r="142" spans="1:11" x14ac:dyDescent="0.3">
      <c r="A142">
        <v>134</v>
      </c>
      <c r="B142" s="3">
        <f t="shared" si="16"/>
        <v>81714.285714285157</v>
      </c>
      <c r="C142" s="3">
        <f t="shared" si="19"/>
        <v>285.71428571428572</v>
      </c>
      <c r="D142" s="3">
        <f t="shared" si="17"/>
        <v>546.66666666666299</v>
      </c>
      <c r="E142" s="3">
        <f t="shared" si="18"/>
        <v>832.38095238094866</v>
      </c>
      <c r="F142" s="3"/>
      <c r="G142">
        <v>134</v>
      </c>
      <c r="H142" s="3">
        <f t="shared" si="20"/>
        <v>108731.55058172521</v>
      </c>
      <c r="I142" s="13">
        <f t="shared" si="21"/>
        <v>852.31305474553244</v>
      </c>
      <c r="J142" s="3">
        <f t="shared" si="22"/>
        <v>725.72095123490567</v>
      </c>
      <c r="K142" s="13">
        <f t="shared" si="23"/>
        <v>126.59210351062677</v>
      </c>
    </row>
    <row r="143" spans="1:11" x14ac:dyDescent="0.3">
      <c r="A143">
        <v>135</v>
      </c>
      <c r="B143" s="3">
        <f t="shared" si="16"/>
        <v>81428.571428570867</v>
      </c>
      <c r="C143" s="3">
        <f t="shared" si="19"/>
        <v>285.71428571428572</v>
      </c>
      <c r="D143" s="3">
        <f t="shared" si="17"/>
        <v>544.76190476190106</v>
      </c>
      <c r="E143" s="3">
        <f t="shared" si="18"/>
        <v>830.47619047618673</v>
      </c>
      <c r="F143" s="3"/>
      <c r="G143">
        <v>135</v>
      </c>
      <c r="H143" s="3">
        <f t="shared" si="20"/>
        <v>108604.11453085784</v>
      </c>
      <c r="I143" s="13">
        <f t="shared" si="21"/>
        <v>852.31305474553244</v>
      </c>
      <c r="J143" s="3">
        <f t="shared" si="22"/>
        <v>724.87700387816813</v>
      </c>
      <c r="K143" s="13">
        <f t="shared" si="23"/>
        <v>127.43605086736432</v>
      </c>
    </row>
    <row r="144" spans="1:11" x14ac:dyDescent="0.3">
      <c r="A144">
        <v>136</v>
      </c>
      <c r="B144" s="3">
        <f t="shared" si="16"/>
        <v>81142.857142856577</v>
      </c>
      <c r="C144" s="3">
        <f t="shared" si="19"/>
        <v>285.71428571428572</v>
      </c>
      <c r="D144" s="3">
        <f t="shared" si="17"/>
        <v>542.85714285713914</v>
      </c>
      <c r="E144" s="3">
        <f t="shared" si="18"/>
        <v>828.5714285714248</v>
      </c>
      <c r="F144" s="3"/>
      <c r="G144">
        <v>136</v>
      </c>
      <c r="H144" s="3">
        <f t="shared" si="20"/>
        <v>108475.82890631803</v>
      </c>
      <c r="I144" s="13">
        <f t="shared" si="21"/>
        <v>852.31305474553244</v>
      </c>
      <c r="J144" s="3">
        <f t="shared" si="22"/>
        <v>724.02743020571904</v>
      </c>
      <c r="K144" s="13">
        <f t="shared" si="23"/>
        <v>128.2856245398134</v>
      </c>
    </row>
    <row r="145" spans="1:11" x14ac:dyDescent="0.3">
      <c r="A145">
        <v>137</v>
      </c>
      <c r="B145" s="3">
        <f t="shared" ref="B145:B208" si="24">B144-C145</f>
        <v>80857.142857142288</v>
      </c>
      <c r="C145" s="3">
        <f t="shared" si="19"/>
        <v>285.71428571428572</v>
      </c>
      <c r="D145" s="3">
        <f t="shared" ref="D145:D208" si="25">B144*$B$3</f>
        <v>540.95238095237721</v>
      </c>
      <c r="E145" s="3">
        <f t="shared" ref="E145:E208" si="26">D145+C145</f>
        <v>826.66666666666288</v>
      </c>
      <c r="F145" s="3"/>
      <c r="G145">
        <v>137</v>
      </c>
      <c r="H145" s="3">
        <f t="shared" si="20"/>
        <v>108346.68804428128</v>
      </c>
      <c r="I145" s="13">
        <f t="shared" si="21"/>
        <v>852.31305474553244</v>
      </c>
      <c r="J145" s="3">
        <f t="shared" si="22"/>
        <v>723.17219270878695</v>
      </c>
      <c r="K145" s="13">
        <f t="shared" si="23"/>
        <v>129.14086203674549</v>
      </c>
    </row>
    <row r="146" spans="1:11" x14ac:dyDescent="0.3">
      <c r="A146">
        <v>138</v>
      </c>
      <c r="B146" s="3">
        <f t="shared" si="24"/>
        <v>80571.428571427998</v>
      </c>
      <c r="C146" s="3">
        <f t="shared" si="19"/>
        <v>285.71428571428572</v>
      </c>
      <c r="D146" s="3">
        <f t="shared" si="25"/>
        <v>539.04761904761529</v>
      </c>
      <c r="E146" s="3">
        <f t="shared" si="26"/>
        <v>824.76190476190095</v>
      </c>
      <c r="F146" s="3"/>
      <c r="G146">
        <v>138</v>
      </c>
      <c r="H146" s="3">
        <f t="shared" si="20"/>
        <v>108216.68624316429</v>
      </c>
      <c r="I146" s="13">
        <f t="shared" si="21"/>
        <v>852.31305474553244</v>
      </c>
      <c r="J146" s="3">
        <f t="shared" si="22"/>
        <v>722.31125362854198</v>
      </c>
      <c r="K146" s="13">
        <f t="shared" si="23"/>
        <v>130.00180111699046</v>
      </c>
    </row>
    <row r="147" spans="1:11" x14ac:dyDescent="0.3">
      <c r="A147">
        <v>139</v>
      </c>
      <c r="B147" s="3">
        <f t="shared" si="24"/>
        <v>80285.714285713708</v>
      </c>
      <c r="C147" s="3">
        <f t="shared" si="19"/>
        <v>285.71428571428572</v>
      </c>
      <c r="D147" s="3">
        <f t="shared" si="25"/>
        <v>537.14285714285336</v>
      </c>
      <c r="E147" s="3">
        <f t="shared" si="26"/>
        <v>822.85714285713902</v>
      </c>
      <c r="F147" s="3"/>
      <c r="G147">
        <v>139</v>
      </c>
      <c r="H147" s="3">
        <f t="shared" si="20"/>
        <v>108085.8177633732</v>
      </c>
      <c r="I147" s="13">
        <f t="shared" si="21"/>
        <v>852.31305474553244</v>
      </c>
      <c r="J147" s="3">
        <f t="shared" si="22"/>
        <v>721.44457495442873</v>
      </c>
      <c r="K147" s="13">
        <f t="shared" si="23"/>
        <v>130.86847979110371</v>
      </c>
    </row>
    <row r="148" spans="1:11" x14ac:dyDescent="0.3">
      <c r="A148">
        <v>140</v>
      </c>
      <c r="B148" s="3">
        <f t="shared" si="24"/>
        <v>79999.999999999418</v>
      </c>
      <c r="C148" s="3">
        <f t="shared" si="19"/>
        <v>285.71428571428572</v>
      </c>
      <c r="D148" s="3">
        <f t="shared" si="25"/>
        <v>535.23809523809143</v>
      </c>
      <c r="E148" s="3">
        <f t="shared" si="26"/>
        <v>820.9523809523771</v>
      </c>
      <c r="F148" s="3"/>
      <c r="G148">
        <v>140</v>
      </c>
      <c r="H148" s="3">
        <f t="shared" si="20"/>
        <v>107954.07682705016</v>
      </c>
      <c r="I148" s="13">
        <f t="shared" si="21"/>
        <v>852.31305474553244</v>
      </c>
      <c r="J148" s="3">
        <f t="shared" si="22"/>
        <v>720.57211842248807</v>
      </c>
      <c r="K148" s="13">
        <f t="shared" si="23"/>
        <v>131.74093632304437</v>
      </c>
    </row>
    <row r="149" spans="1:11" x14ac:dyDescent="0.3">
      <c r="A149">
        <v>141</v>
      </c>
      <c r="B149" s="3">
        <f t="shared" si="24"/>
        <v>79714.285714285128</v>
      </c>
      <c r="C149" s="3">
        <f t="shared" si="19"/>
        <v>285.71428571428572</v>
      </c>
      <c r="D149" s="3">
        <f t="shared" si="25"/>
        <v>533.33333333332951</v>
      </c>
      <c r="E149" s="3">
        <f t="shared" si="26"/>
        <v>819.04761904761517</v>
      </c>
      <c r="F149" s="3"/>
      <c r="G149">
        <v>141</v>
      </c>
      <c r="H149" s="3">
        <f t="shared" si="20"/>
        <v>107821.45761781829</v>
      </c>
      <c r="I149" s="13">
        <f t="shared" si="21"/>
        <v>852.31305474553244</v>
      </c>
      <c r="J149" s="3">
        <f t="shared" si="22"/>
        <v>719.69384551366772</v>
      </c>
      <c r="K149" s="13">
        <f t="shared" si="23"/>
        <v>132.61920923186472</v>
      </c>
    </row>
    <row r="150" spans="1:11" x14ac:dyDescent="0.3">
      <c r="A150">
        <v>142</v>
      </c>
      <c r="B150" s="3">
        <f t="shared" si="24"/>
        <v>79428.571428570838</v>
      </c>
      <c r="C150" s="3">
        <f t="shared" si="19"/>
        <v>285.71428571428572</v>
      </c>
      <c r="D150" s="3">
        <f t="shared" si="25"/>
        <v>531.42857142856758</v>
      </c>
      <c r="E150" s="3">
        <f t="shared" si="26"/>
        <v>817.14285714285325</v>
      </c>
      <c r="F150" s="3"/>
      <c r="G150">
        <v>142</v>
      </c>
      <c r="H150" s="3">
        <f t="shared" si="20"/>
        <v>107687.95428052488</v>
      </c>
      <c r="I150" s="13">
        <f t="shared" si="21"/>
        <v>852.31305474553244</v>
      </c>
      <c r="J150" s="3">
        <f t="shared" si="22"/>
        <v>718.80971745212196</v>
      </c>
      <c r="K150" s="13">
        <f t="shared" si="23"/>
        <v>133.50333729341048</v>
      </c>
    </row>
    <row r="151" spans="1:11" x14ac:dyDescent="0.3">
      <c r="A151">
        <v>143</v>
      </c>
      <c r="B151" s="3">
        <f t="shared" si="24"/>
        <v>79142.857142856548</v>
      </c>
      <c r="C151" s="3">
        <f t="shared" si="19"/>
        <v>285.71428571428572</v>
      </c>
      <c r="D151" s="3">
        <f t="shared" si="25"/>
        <v>529.52380952380565</v>
      </c>
      <c r="E151" s="3">
        <f t="shared" si="26"/>
        <v>815.23809523809132</v>
      </c>
      <c r="F151" s="3"/>
      <c r="G151">
        <v>143</v>
      </c>
      <c r="H151" s="3">
        <f t="shared" si="20"/>
        <v>107553.56092098284</v>
      </c>
      <c r="I151" s="13">
        <f t="shared" si="21"/>
        <v>852.31305474553244</v>
      </c>
      <c r="J151" s="3">
        <f t="shared" si="22"/>
        <v>717.91969520349926</v>
      </c>
      <c r="K151" s="13">
        <f t="shared" si="23"/>
        <v>134.39335954203318</v>
      </c>
    </row>
    <row r="152" spans="1:11" x14ac:dyDescent="0.3">
      <c r="A152">
        <v>144</v>
      </c>
      <c r="B152" s="3">
        <f t="shared" si="24"/>
        <v>78857.142857142258</v>
      </c>
      <c r="C152" s="3">
        <f t="shared" si="19"/>
        <v>285.71428571428572</v>
      </c>
      <c r="D152" s="3">
        <f t="shared" si="25"/>
        <v>527.61904761904373</v>
      </c>
      <c r="E152" s="3">
        <f t="shared" si="26"/>
        <v>813.33333333332939</v>
      </c>
      <c r="F152" s="3"/>
      <c r="G152">
        <v>144</v>
      </c>
      <c r="H152" s="3">
        <f t="shared" si="20"/>
        <v>107418.27160571053</v>
      </c>
      <c r="I152" s="13">
        <f t="shared" si="21"/>
        <v>852.31305474553244</v>
      </c>
      <c r="J152" s="3">
        <f t="shared" si="22"/>
        <v>717.02373947321894</v>
      </c>
      <c r="K152" s="13">
        <f t="shared" si="23"/>
        <v>135.2893152723135</v>
      </c>
    </row>
    <row r="153" spans="1:11" x14ac:dyDescent="0.3">
      <c r="A153">
        <v>145</v>
      </c>
      <c r="B153" s="3">
        <f t="shared" si="24"/>
        <v>78571.428571427969</v>
      </c>
      <c r="C153" s="3">
        <f t="shared" si="19"/>
        <v>285.71428571428572</v>
      </c>
      <c r="D153" s="3">
        <f t="shared" si="25"/>
        <v>525.7142857142818</v>
      </c>
      <c r="E153" s="3">
        <f t="shared" si="26"/>
        <v>811.42857142856747</v>
      </c>
      <c r="F153" s="3"/>
      <c r="G153">
        <v>145</v>
      </c>
      <c r="H153" s="3">
        <f t="shared" si="20"/>
        <v>107282.08036166974</v>
      </c>
      <c r="I153" s="13">
        <f t="shared" si="21"/>
        <v>852.31305474553244</v>
      </c>
      <c r="J153" s="3">
        <f t="shared" si="22"/>
        <v>716.12181070473684</v>
      </c>
      <c r="K153" s="13">
        <f t="shared" si="23"/>
        <v>136.1912440407956</v>
      </c>
    </row>
    <row r="154" spans="1:11" x14ac:dyDescent="0.3">
      <c r="A154">
        <v>146</v>
      </c>
      <c r="B154" s="3">
        <f t="shared" si="24"/>
        <v>78285.714285713679</v>
      </c>
      <c r="C154" s="3">
        <f t="shared" si="19"/>
        <v>285.71428571428572</v>
      </c>
      <c r="D154" s="3">
        <f t="shared" si="25"/>
        <v>523.80952380951987</v>
      </c>
      <c r="E154" s="3">
        <f t="shared" si="26"/>
        <v>809.52380952380554</v>
      </c>
      <c r="F154" s="3"/>
      <c r="G154">
        <v>146</v>
      </c>
      <c r="H154" s="3">
        <f t="shared" si="20"/>
        <v>107144.98117600201</v>
      </c>
      <c r="I154" s="13">
        <f t="shared" si="21"/>
        <v>852.31305474553244</v>
      </c>
      <c r="J154" s="3">
        <f t="shared" si="22"/>
        <v>715.21386907779834</v>
      </c>
      <c r="K154" s="13">
        <f t="shared" si="23"/>
        <v>137.0991856677341</v>
      </c>
    </row>
    <row r="155" spans="1:11" x14ac:dyDescent="0.3">
      <c r="A155">
        <v>147</v>
      </c>
      <c r="B155" s="3">
        <f t="shared" si="24"/>
        <v>77999.999999999389</v>
      </c>
      <c r="C155" s="3">
        <f t="shared" si="19"/>
        <v>285.71428571428572</v>
      </c>
      <c r="D155" s="3">
        <f t="shared" si="25"/>
        <v>521.90476190475795</v>
      </c>
      <c r="E155" s="3">
        <f t="shared" si="26"/>
        <v>807.61904761904361</v>
      </c>
      <c r="F155" s="3"/>
      <c r="G155">
        <v>147</v>
      </c>
      <c r="H155" s="3">
        <f t="shared" si="20"/>
        <v>107006.96799576316</v>
      </c>
      <c r="I155" s="13">
        <f t="shared" si="21"/>
        <v>852.31305474553244</v>
      </c>
      <c r="J155" s="3">
        <f t="shared" si="22"/>
        <v>714.29987450668011</v>
      </c>
      <c r="K155" s="13">
        <f t="shared" si="23"/>
        <v>138.01318023885233</v>
      </c>
    </row>
    <row r="156" spans="1:11" x14ac:dyDescent="0.3">
      <c r="A156">
        <v>148</v>
      </c>
      <c r="B156" s="3">
        <f t="shared" si="24"/>
        <v>77714.285714285099</v>
      </c>
      <c r="C156" s="3">
        <f t="shared" si="19"/>
        <v>285.71428571428572</v>
      </c>
      <c r="D156" s="3">
        <f t="shared" si="25"/>
        <v>519.99999999999591</v>
      </c>
      <c r="E156" s="3">
        <f t="shared" si="26"/>
        <v>805.71428571428169</v>
      </c>
      <c r="F156" s="3"/>
      <c r="G156">
        <v>148</v>
      </c>
      <c r="H156" s="3">
        <f t="shared" si="20"/>
        <v>106868.03472765605</v>
      </c>
      <c r="I156" s="13">
        <f t="shared" si="21"/>
        <v>852.31305474553244</v>
      </c>
      <c r="J156" s="3">
        <f t="shared" si="22"/>
        <v>713.37978663842114</v>
      </c>
      <c r="K156" s="13">
        <f t="shared" si="23"/>
        <v>138.9332681071113</v>
      </c>
    </row>
    <row r="157" spans="1:11" x14ac:dyDescent="0.3">
      <c r="A157">
        <v>149</v>
      </c>
      <c r="B157" s="3">
        <f t="shared" si="24"/>
        <v>77428.571428570809</v>
      </c>
      <c r="C157" s="3">
        <f t="shared" si="19"/>
        <v>285.71428571428572</v>
      </c>
      <c r="D157" s="3">
        <f t="shared" si="25"/>
        <v>518.09523809523398</v>
      </c>
      <c r="E157" s="3">
        <f t="shared" si="26"/>
        <v>803.80952380951976</v>
      </c>
      <c r="F157" s="3"/>
      <c r="G157">
        <v>149</v>
      </c>
      <c r="H157" s="3">
        <f t="shared" si="20"/>
        <v>106728.17523776156</v>
      </c>
      <c r="I157" s="13">
        <f t="shared" si="21"/>
        <v>852.31305474553244</v>
      </c>
      <c r="J157" s="3">
        <f t="shared" si="22"/>
        <v>712.45356485104037</v>
      </c>
      <c r="K157" s="13">
        <f t="shared" si="23"/>
        <v>139.85948989449207</v>
      </c>
    </row>
    <row r="158" spans="1:11" x14ac:dyDescent="0.3">
      <c r="A158">
        <v>150</v>
      </c>
      <c r="B158" s="3">
        <f t="shared" si="24"/>
        <v>77142.857142856519</v>
      </c>
      <c r="C158" s="3">
        <f t="shared" si="19"/>
        <v>285.71428571428572</v>
      </c>
      <c r="D158" s="3">
        <f t="shared" si="25"/>
        <v>516.19047619047205</v>
      </c>
      <c r="E158" s="3">
        <f t="shared" si="26"/>
        <v>801.90476190475783</v>
      </c>
      <c r="F158" s="3"/>
      <c r="G158">
        <v>150</v>
      </c>
      <c r="H158" s="3">
        <f t="shared" si="20"/>
        <v>106587.38335126778</v>
      </c>
      <c r="I158" s="13">
        <f t="shared" si="21"/>
        <v>852.31305474553244</v>
      </c>
      <c r="J158" s="3">
        <f t="shared" si="22"/>
        <v>711.5211682517438</v>
      </c>
      <c r="K158" s="13">
        <f t="shared" si="23"/>
        <v>140.79188649378864</v>
      </c>
    </row>
    <row r="159" spans="1:11" x14ac:dyDescent="0.3">
      <c r="A159">
        <v>151</v>
      </c>
      <c r="B159" s="3">
        <f t="shared" si="24"/>
        <v>76857.142857142229</v>
      </c>
      <c r="C159" s="3">
        <f t="shared" si="19"/>
        <v>285.71428571428572</v>
      </c>
      <c r="D159" s="3">
        <f t="shared" si="25"/>
        <v>514.28571428571013</v>
      </c>
      <c r="E159" s="3">
        <f t="shared" si="26"/>
        <v>799.99999999999591</v>
      </c>
      <c r="F159" s="3"/>
      <c r="G159">
        <v>151</v>
      </c>
      <c r="H159" s="3">
        <f t="shared" si="20"/>
        <v>106445.65285219737</v>
      </c>
      <c r="I159" s="13">
        <f t="shared" si="21"/>
        <v>852.31305474553244</v>
      </c>
      <c r="J159" s="3">
        <f t="shared" si="22"/>
        <v>710.58255567511856</v>
      </c>
      <c r="K159" s="13">
        <f t="shared" si="23"/>
        <v>141.73049907041388</v>
      </c>
    </row>
    <row r="160" spans="1:11" x14ac:dyDescent="0.3">
      <c r="A160">
        <v>152</v>
      </c>
      <c r="B160" s="3">
        <f t="shared" si="24"/>
        <v>76571.428571427939</v>
      </c>
      <c r="C160" s="3">
        <f t="shared" si="19"/>
        <v>285.71428571428572</v>
      </c>
      <c r="D160" s="3">
        <f t="shared" si="25"/>
        <v>512.3809523809482</v>
      </c>
      <c r="E160" s="3">
        <f t="shared" si="26"/>
        <v>798.09523809523398</v>
      </c>
      <c r="F160" s="3"/>
      <c r="G160">
        <v>152</v>
      </c>
      <c r="H160" s="3">
        <f t="shared" si="20"/>
        <v>106302.97748313315</v>
      </c>
      <c r="I160" s="13">
        <f t="shared" si="21"/>
        <v>852.31305474553244</v>
      </c>
      <c r="J160" s="3">
        <f t="shared" si="22"/>
        <v>709.63768568131582</v>
      </c>
      <c r="K160" s="13">
        <f t="shared" si="23"/>
        <v>142.67536906421662</v>
      </c>
    </row>
    <row r="161" spans="1:11" x14ac:dyDescent="0.3">
      <c r="A161">
        <v>153</v>
      </c>
      <c r="B161" s="3">
        <f t="shared" si="24"/>
        <v>76285.71428571365</v>
      </c>
      <c r="C161" s="3">
        <f t="shared" si="19"/>
        <v>285.71428571428572</v>
      </c>
      <c r="D161" s="3">
        <f t="shared" si="25"/>
        <v>510.47619047618628</v>
      </c>
      <c r="E161" s="3">
        <f t="shared" si="26"/>
        <v>796.19047619047205</v>
      </c>
      <c r="F161" s="3"/>
      <c r="G161">
        <v>153</v>
      </c>
      <c r="H161" s="3">
        <f t="shared" si="20"/>
        <v>106159.35094494183</v>
      </c>
      <c r="I161" s="13">
        <f t="shared" si="21"/>
        <v>852.31305474553244</v>
      </c>
      <c r="J161" s="3">
        <f t="shared" si="22"/>
        <v>708.68651655422104</v>
      </c>
      <c r="K161" s="13">
        <f t="shared" si="23"/>
        <v>143.6265381913114</v>
      </c>
    </row>
    <row r="162" spans="1:11" x14ac:dyDescent="0.3">
      <c r="A162">
        <v>154</v>
      </c>
      <c r="B162" s="3">
        <f t="shared" si="24"/>
        <v>75999.99999999936</v>
      </c>
      <c r="C162" s="3">
        <f t="shared" si="19"/>
        <v>285.71428571428572</v>
      </c>
      <c r="D162" s="3">
        <f t="shared" si="25"/>
        <v>508.57142857142435</v>
      </c>
      <c r="E162" s="3">
        <f t="shared" si="26"/>
        <v>794.28571428571013</v>
      </c>
      <c r="F162" s="3"/>
      <c r="G162">
        <v>154</v>
      </c>
      <c r="H162" s="3">
        <f t="shared" si="20"/>
        <v>106014.76689649592</v>
      </c>
      <c r="I162" s="13">
        <f t="shared" si="21"/>
        <v>852.31305474553244</v>
      </c>
      <c r="J162" s="3">
        <f t="shared" si="22"/>
        <v>707.72900629961225</v>
      </c>
      <c r="K162" s="13">
        <f t="shared" si="23"/>
        <v>144.58404844592019</v>
      </c>
    </row>
    <row r="163" spans="1:11" x14ac:dyDescent="0.3">
      <c r="A163">
        <v>155</v>
      </c>
      <c r="B163" s="3">
        <f t="shared" si="24"/>
        <v>75714.28571428507</v>
      </c>
      <c r="C163" s="3">
        <f t="shared" si="19"/>
        <v>285.71428571428572</v>
      </c>
      <c r="D163" s="3">
        <f t="shared" si="25"/>
        <v>506.66666666666242</v>
      </c>
      <c r="E163" s="3">
        <f t="shared" si="26"/>
        <v>792.3809523809482</v>
      </c>
      <c r="F163" s="3"/>
      <c r="G163">
        <v>155</v>
      </c>
      <c r="H163" s="3">
        <f t="shared" si="20"/>
        <v>105869.21895439368</v>
      </c>
      <c r="I163" s="13">
        <f t="shared" si="21"/>
        <v>852.31305474553244</v>
      </c>
      <c r="J163" s="3">
        <f t="shared" si="22"/>
        <v>706.76511264330611</v>
      </c>
      <c r="K163" s="13">
        <f t="shared" si="23"/>
        <v>145.54794210222633</v>
      </c>
    </row>
    <row r="164" spans="1:11" x14ac:dyDescent="0.3">
      <c r="A164">
        <v>156</v>
      </c>
      <c r="B164" s="3">
        <f t="shared" si="24"/>
        <v>75428.57142857078</v>
      </c>
      <c r="C164" s="3">
        <f t="shared" si="19"/>
        <v>285.71428571428572</v>
      </c>
      <c r="D164" s="3">
        <f t="shared" si="25"/>
        <v>504.7619047619005</v>
      </c>
      <c r="E164" s="3">
        <f t="shared" si="26"/>
        <v>790.47619047618628</v>
      </c>
      <c r="F164" s="3"/>
      <c r="G164">
        <v>156</v>
      </c>
      <c r="H164" s="3">
        <f t="shared" si="20"/>
        <v>105722.70069267745</v>
      </c>
      <c r="I164" s="13">
        <f t="shared" si="21"/>
        <v>852.31305474553244</v>
      </c>
      <c r="J164" s="3">
        <f t="shared" si="22"/>
        <v>705.79479302929133</v>
      </c>
      <c r="K164" s="13">
        <f t="shared" si="23"/>
        <v>146.51826171624111</v>
      </c>
    </row>
    <row r="165" spans="1:11" x14ac:dyDescent="0.3">
      <c r="A165">
        <v>157</v>
      </c>
      <c r="B165" s="3">
        <f t="shared" si="24"/>
        <v>75142.85714285649</v>
      </c>
      <c r="C165" s="3">
        <f t="shared" si="19"/>
        <v>285.71428571428572</v>
      </c>
      <c r="D165" s="3">
        <f t="shared" si="25"/>
        <v>502.85714285713857</v>
      </c>
      <c r="E165" s="3">
        <f t="shared" si="26"/>
        <v>788.57142857142435</v>
      </c>
      <c r="F165" s="3"/>
      <c r="G165">
        <v>157</v>
      </c>
      <c r="H165" s="3">
        <f t="shared" si="20"/>
        <v>105575.20564254977</v>
      </c>
      <c r="I165" s="13">
        <f t="shared" si="21"/>
        <v>852.31305474553244</v>
      </c>
      <c r="J165" s="3">
        <f t="shared" si="22"/>
        <v>704.81800461784974</v>
      </c>
      <c r="K165" s="13">
        <f t="shared" si="23"/>
        <v>147.4950501276827</v>
      </c>
    </row>
    <row r="166" spans="1:11" x14ac:dyDescent="0.3">
      <c r="A166">
        <v>158</v>
      </c>
      <c r="B166" s="3">
        <f t="shared" si="24"/>
        <v>74857.1428571422</v>
      </c>
      <c r="C166" s="3">
        <f t="shared" si="19"/>
        <v>285.71428571428572</v>
      </c>
      <c r="D166" s="3">
        <f t="shared" si="25"/>
        <v>500.95238095237664</v>
      </c>
      <c r="E166" s="3">
        <f t="shared" si="26"/>
        <v>786.66666666666242</v>
      </c>
      <c r="F166" s="3"/>
      <c r="G166">
        <v>158</v>
      </c>
      <c r="H166" s="3">
        <f t="shared" si="20"/>
        <v>105426.7272920879</v>
      </c>
      <c r="I166" s="13">
        <f t="shared" si="21"/>
        <v>852.31305474553244</v>
      </c>
      <c r="J166" s="3">
        <f t="shared" si="22"/>
        <v>703.83470428366525</v>
      </c>
      <c r="K166" s="13">
        <f t="shared" si="23"/>
        <v>148.47835046186719</v>
      </c>
    </row>
    <row r="167" spans="1:11" x14ac:dyDescent="0.3">
      <c r="A167">
        <v>159</v>
      </c>
      <c r="B167" s="3">
        <f t="shared" si="24"/>
        <v>74571.42857142791</v>
      </c>
      <c r="C167" s="3">
        <f t="shared" si="19"/>
        <v>285.71428571428572</v>
      </c>
      <c r="D167" s="3">
        <f t="shared" si="25"/>
        <v>499.04761904761472</v>
      </c>
      <c r="E167" s="3">
        <f t="shared" si="26"/>
        <v>784.7619047619005</v>
      </c>
      <c r="F167" s="3"/>
      <c r="G167">
        <v>159</v>
      </c>
      <c r="H167" s="3">
        <f t="shared" si="20"/>
        <v>105277.25908595629</v>
      </c>
      <c r="I167" s="13">
        <f t="shared" si="21"/>
        <v>852.31305474553244</v>
      </c>
      <c r="J167" s="3">
        <f t="shared" si="22"/>
        <v>702.84484861391945</v>
      </c>
      <c r="K167" s="13">
        <f t="shared" si="23"/>
        <v>149.46820613161299</v>
      </c>
    </row>
    <row r="168" spans="1:11" x14ac:dyDescent="0.3">
      <c r="A168">
        <v>160</v>
      </c>
      <c r="B168" s="3">
        <f t="shared" si="24"/>
        <v>74285.71428571362</v>
      </c>
      <c r="C168" s="3">
        <f t="shared" si="19"/>
        <v>285.71428571428572</v>
      </c>
      <c r="D168" s="3">
        <f t="shared" si="25"/>
        <v>497.14285714285279</v>
      </c>
      <c r="E168" s="3">
        <f t="shared" si="26"/>
        <v>782.85714285713857</v>
      </c>
      <c r="F168" s="3"/>
      <c r="G168">
        <v>160</v>
      </c>
      <c r="H168" s="3">
        <f t="shared" si="20"/>
        <v>105126.79442511713</v>
      </c>
      <c r="I168" s="13">
        <f t="shared" si="21"/>
        <v>852.31305474553244</v>
      </c>
      <c r="J168" s="3">
        <f t="shared" si="22"/>
        <v>701.84839390637535</v>
      </c>
      <c r="K168" s="13">
        <f t="shared" si="23"/>
        <v>150.46466083915709</v>
      </c>
    </row>
    <row r="169" spans="1:11" x14ac:dyDescent="0.3">
      <c r="A169">
        <v>161</v>
      </c>
      <c r="B169" s="3">
        <f t="shared" si="24"/>
        <v>73999.999999999331</v>
      </c>
      <c r="C169" s="3">
        <f t="shared" si="19"/>
        <v>285.71428571428572</v>
      </c>
      <c r="D169" s="3">
        <f t="shared" si="25"/>
        <v>495.23809523809081</v>
      </c>
      <c r="E169" s="3">
        <f t="shared" si="26"/>
        <v>780.95238095237653</v>
      </c>
      <c r="F169" s="3"/>
      <c r="G169">
        <v>161</v>
      </c>
      <c r="H169" s="3">
        <f t="shared" si="20"/>
        <v>104975.32666653904</v>
      </c>
      <c r="I169" s="13">
        <f t="shared" si="21"/>
        <v>852.31305474553244</v>
      </c>
      <c r="J169" s="3">
        <f t="shared" si="22"/>
        <v>700.8452961674476</v>
      </c>
      <c r="K169" s="13">
        <f t="shared" si="23"/>
        <v>151.46775857808484</v>
      </c>
    </row>
    <row r="170" spans="1:11" x14ac:dyDescent="0.3">
      <c r="A170">
        <v>162</v>
      </c>
      <c r="B170" s="3">
        <f t="shared" si="24"/>
        <v>73714.285714285041</v>
      </c>
      <c r="C170" s="3">
        <f t="shared" si="19"/>
        <v>285.71428571428572</v>
      </c>
      <c r="D170" s="3">
        <f t="shared" si="25"/>
        <v>493.33333333332888</v>
      </c>
      <c r="E170" s="3">
        <f t="shared" si="26"/>
        <v>779.0476190476146</v>
      </c>
      <c r="F170" s="3"/>
      <c r="G170">
        <v>162</v>
      </c>
      <c r="H170" s="3">
        <f t="shared" si="20"/>
        <v>104822.84912290376</v>
      </c>
      <c r="I170" s="13">
        <f t="shared" si="21"/>
        <v>852.31305474553244</v>
      </c>
      <c r="J170" s="3">
        <f t="shared" si="22"/>
        <v>699.83551111026031</v>
      </c>
      <c r="K170" s="13">
        <f t="shared" si="23"/>
        <v>152.47754363527213</v>
      </c>
    </row>
    <row r="171" spans="1:11" x14ac:dyDescent="0.3">
      <c r="A171">
        <v>163</v>
      </c>
      <c r="B171" s="3">
        <f t="shared" si="24"/>
        <v>73428.571428570751</v>
      </c>
      <c r="C171" s="3">
        <f t="shared" si="19"/>
        <v>285.71428571428572</v>
      </c>
      <c r="D171" s="3">
        <f t="shared" si="25"/>
        <v>491.42857142856695</v>
      </c>
      <c r="E171" s="3">
        <f t="shared" si="26"/>
        <v>777.14285714285268</v>
      </c>
      <c r="F171" s="3"/>
      <c r="G171">
        <v>163</v>
      </c>
      <c r="H171" s="3">
        <f t="shared" si="20"/>
        <v>104669.35506231092</v>
      </c>
      <c r="I171" s="13">
        <f t="shared" si="21"/>
        <v>852.31305474553244</v>
      </c>
      <c r="J171" s="3">
        <f t="shared" si="22"/>
        <v>698.81899415269174</v>
      </c>
      <c r="K171" s="13">
        <f t="shared" si="23"/>
        <v>153.4940605928407</v>
      </c>
    </row>
    <row r="172" spans="1:11" x14ac:dyDescent="0.3">
      <c r="A172">
        <v>164</v>
      </c>
      <c r="B172" s="3">
        <f t="shared" si="24"/>
        <v>73142.857142856461</v>
      </c>
      <c r="C172" s="3">
        <f t="shared" si="19"/>
        <v>285.71428571428572</v>
      </c>
      <c r="D172" s="3">
        <f t="shared" si="25"/>
        <v>489.52380952380503</v>
      </c>
      <c r="E172" s="3">
        <f t="shared" si="26"/>
        <v>775.23809523809075</v>
      </c>
      <c r="F172" s="3"/>
      <c r="G172">
        <v>164</v>
      </c>
      <c r="H172" s="3">
        <f t="shared" si="20"/>
        <v>104514.8377079808</v>
      </c>
      <c r="I172" s="13">
        <f t="shared" si="21"/>
        <v>852.31305474553244</v>
      </c>
      <c r="J172" s="3">
        <f t="shared" si="22"/>
        <v>697.79570041540615</v>
      </c>
      <c r="K172" s="13">
        <f t="shared" si="23"/>
        <v>154.5173543301263</v>
      </c>
    </row>
    <row r="173" spans="1:11" x14ac:dyDescent="0.3">
      <c r="A173">
        <v>165</v>
      </c>
      <c r="B173" s="3">
        <f t="shared" si="24"/>
        <v>72857.142857142171</v>
      </c>
      <c r="C173" s="3">
        <f t="shared" si="19"/>
        <v>285.71428571428572</v>
      </c>
      <c r="D173" s="3">
        <f t="shared" si="25"/>
        <v>487.6190476190431</v>
      </c>
      <c r="E173" s="3">
        <f t="shared" si="26"/>
        <v>773.33333333332882</v>
      </c>
      <c r="F173" s="3"/>
      <c r="G173">
        <v>165</v>
      </c>
      <c r="H173" s="3">
        <f t="shared" si="20"/>
        <v>104359.29023795514</v>
      </c>
      <c r="I173" s="13">
        <f t="shared" si="21"/>
        <v>852.31305474553244</v>
      </c>
      <c r="J173" s="3">
        <f t="shared" si="22"/>
        <v>696.76558471987198</v>
      </c>
      <c r="K173" s="13">
        <f t="shared" si="23"/>
        <v>155.54747002566046</v>
      </c>
    </row>
    <row r="174" spans="1:11" x14ac:dyDescent="0.3">
      <c r="A174">
        <v>166</v>
      </c>
      <c r="B174" s="3">
        <f t="shared" si="24"/>
        <v>72571.428571427881</v>
      </c>
      <c r="C174" s="3">
        <f t="shared" si="19"/>
        <v>285.71428571428572</v>
      </c>
      <c r="D174" s="3">
        <f t="shared" si="25"/>
        <v>485.71428571428117</v>
      </c>
      <c r="E174" s="3">
        <f t="shared" si="26"/>
        <v>771.4285714285669</v>
      </c>
      <c r="F174" s="3"/>
      <c r="G174">
        <v>166</v>
      </c>
      <c r="H174" s="3">
        <f t="shared" si="20"/>
        <v>104202.70578479597</v>
      </c>
      <c r="I174" s="13">
        <f t="shared" si="21"/>
        <v>852.31305474553244</v>
      </c>
      <c r="J174" s="3">
        <f t="shared" si="22"/>
        <v>695.72860158636763</v>
      </c>
      <c r="K174" s="13">
        <f t="shared" si="23"/>
        <v>156.58445315916481</v>
      </c>
    </row>
    <row r="175" spans="1:11" x14ac:dyDescent="0.3">
      <c r="A175">
        <v>167</v>
      </c>
      <c r="B175" s="3">
        <f t="shared" si="24"/>
        <v>72285.714285713591</v>
      </c>
      <c r="C175" s="3">
        <f t="shared" si="19"/>
        <v>285.71428571428572</v>
      </c>
      <c r="D175" s="3">
        <f t="shared" si="25"/>
        <v>483.80952380951925</v>
      </c>
      <c r="E175" s="3">
        <f t="shared" si="26"/>
        <v>769.52380952380497</v>
      </c>
      <c r="F175" s="3"/>
      <c r="G175">
        <v>167</v>
      </c>
      <c r="H175" s="3">
        <f t="shared" si="20"/>
        <v>104045.07743528241</v>
      </c>
      <c r="I175" s="13">
        <f t="shared" si="21"/>
        <v>852.31305474553244</v>
      </c>
      <c r="J175" s="3">
        <f t="shared" si="22"/>
        <v>694.68470523197311</v>
      </c>
      <c r="K175" s="13">
        <f t="shared" si="23"/>
        <v>157.62834951355933</v>
      </c>
    </row>
    <row r="176" spans="1:11" x14ac:dyDescent="0.3">
      <c r="A176">
        <v>168</v>
      </c>
      <c r="B176" s="3">
        <f t="shared" si="24"/>
        <v>71999.999999999302</v>
      </c>
      <c r="C176" s="3">
        <f t="shared" si="19"/>
        <v>285.71428571428572</v>
      </c>
      <c r="D176" s="3">
        <f t="shared" si="25"/>
        <v>481.90476190475732</v>
      </c>
      <c r="E176" s="3">
        <f t="shared" si="26"/>
        <v>767.61904761904304</v>
      </c>
      <c r="F176" s="3"/>
      <c r="G176">
        <v>168</v>
      </c>
      <c r="H176" s="3">
        <f t="shared" si="20"/>
        <v>103886.39823010542</v>
      </c>
      <c r="I176" s="13">
        <f t="shared" si="21"/>
        <v>852.31305474553244</v>
      </c>
      <c r="J176" s="3">
        <f t="shared" si="22"/>
        <v>693.63384956854941</v>
      </c>
      <c r="K176" s="13">
        <f t="shared" si="23"/>
        <v>158.67920517698303</v>
      </c>
    </row>
    <row r="177" spans="1:11" x14ac:dyDescent="0.3">
      <c r="A177">
        <v>169</v>
      </c>
      <c r="B177" s="3">
        <f t="shared" si="24"/>
        <v>71714.285714285012</v>
      </c>
      <c r="C177" s="3">
        <f t="shared" si="19"/>
        <v>285.71428571428572</v>
      </c>
      <c r="D177" s="3">
        <f t="shared" si="25"/>
        <v>479.9999999999954</v>
      </c>
      <c r="E177" s="3">
        <f t="shared" si="26"/>
        <v>765.71428571428112</v>
      </c>
      <c r="F177" s="3"/>
      <c r="G177">
        <v>169</v>
      </c>
      <c r="H177" s="3">
        <f t="shared" si="20"/>
        <v>103726.6611635606</v>
      </c>
      <c r="I177" s="13">
        <f t="shared" si="21"/>
        <v>852.31305474553244</v>
      </c>
      <c r="J177" s="3">
        <f t="shared" si="22"/>
        <v>692.5759882007028</v>
      </c>
      <c r="K177" s="13">
        <f t="shared" si="23"/>
        <v>159.73706654482964</v>
      </c>
    </row>
    <row r="178" spans="1:11" x14ac:dyDescent="0.3">
      <c r="A178">
        <v>170</v>
      </c>
      <c r="B178" s="3">
        <f t="shared" si="24"/>
        <v>71428.571428570722</v>
      </c>
      <c r="C178" s="3">
        <f t="shared" si="19"/>
        <v>285.71428571428572</v>
      </c>
      <c r="D178" s="3">
        <f t="shared" si="25"/>
        <v>478.09523809523347</v>
      </c>
      <c r="E178" s="3">
        <f t="shared" si="26"/>
        <v>763.80952380951919</v>
      </c>
      <c r="F178" s="3"/>
      <c r="G178">
        <v>170</v>
      </c>
      <c r="H178" s="3">
        <f t="shared" si="20"/>
        <v>103565.8591832388</v>
      </c>
      <c r="I178" s="13">
        <f t="shared" si="21"/>
        <v>852.31305474553244</v>
      </c>
      <c r="J178" s="3">
        <f t="shared" si="22"/>
        <v>691.51107442373734</v>
      </c>
      <c r="K178" s="13">
        <f t="shared" si="23"/>
        <v>160.8019803217951</v>
      </c>
    </row>
    <row r="179" spans="1:11" x14ac:dyDescent="0.3">
      <c r="A179">
        <v>171</v>
      </c>
      <c r="B179" s="3">
        <f t="shared" si="24"/>
        <v>71142.857142856432</v>
      </c>
      <c r="C179" s="3">
        <f t="shared" si="19"/>
        <v>285.71428571428572</v>
      </c>
      <c r="D179" s="3">
        <f t="shared" si="25"/>
        <v>476.19047619047149</v>
      </c>
      <c r="E179" s="3">
        <f t="shared" si="26"/>
        <v>761.90476190475715</v>
      </c>
      <c r="F179" s="3"/>
      <c r="G179">
        <v>171</v>
      </c>
      <c r="H179" s="3">
        <f t="shared" si="20"/>
        <v>103403.98518971486</v>
      </c>
      <c r="I179" s="13">
        <f t="shared" si="21"/>
        <v>852.31305474553244</v>
      </c>
      <c r="J179" s="3">
        <f t="shared" si="22"/>
        <v>690.43906122159206</v>
      </c>
      <c r="K179" s="13">
        <f t="shared" si="23"/>
        <v>161.87399352394038</v>
      </c>
    </row>
    <row r="180" spans="1:11" x14ac:dyDescent="0.3">
      <c r="A180">
        <v>172</v>
      </c>
      <c r="B180" s="3">
        <f t="shared" si="24"/>
        <v>70857.142857142142</v>
      </c>
      <c r="C180" s="3">
        <f t="shared" si="19"/>
        <v>285.71428571428572</v>
      </c>
      <c r="D180" s="3">
        <f t="shared" si="25"/>
        <v>474.28571428570956</v>
      </c>
      <c r="E180" s="3">
        <f t="shared" si="26"/>
        <v>759.99999999999523</v>
      </c>
      <c r="F180" s="3"/>
      <c r="G180">
        <v>172</v>
      </c>
      <c r="H180" s="3">
        <f t="shared" si="20"/>
        <v>103241.0320362341</v>
      </c>
      <c r="I180" s="13">
        <f t="shared" si="21"/>
        <v>852.31305474553244</v>
      </c>
      <c r="J180" s="3">
        <f t="shared" si="22"/>
        <v>689.35990126476577</v>
      </c>
      <c r="K180" s="13">
        <f t="shared" si="23"/>
        <v>162.95315348076667</v>
      </c>
    </row>
    <row r="181" spans="1:11" x14ac:dyDescent="0.3">
      <c r="A181">
        <v>173</v>
      </c>
      <c r="B181" s="3">
        <f t="shared" si="24"/>
        <v>70571.428571427852</v>
      </c>
      <c r="C181" s="3">
        <f t="shared" si="19"/>
        <v>285.71428571428572</v>
      </c>
      <c r="D181" s="3">
        <f t="shared" si="25"/>
        <v>472.38095238094763</v>
      </c>
      <c r="E181" s="3">
        <f t="shared" si="26"/>
        <v>758.0952380952333</v>
      </c>
      <c r="F181" s="3"/>
      <c r="G181">
        <v>173</v>
      </c>
      <c r="H181" s="3">
        <f t="shared" si="20"/>
        <v>103076.99252839679</v>
      </c>
      <c r="I181" s="13">
        <f t="shared" si="21"/>
        <v>852.31305474553244</v>
      </c>
      <c r="J181" s="3">
        <f t="shared" si="22"/>
        <v>688.27354690822733</v>
      </c>
      <c r="K181" s="13">
        <f t="shared" si="23"/>
        <v>164.03950783730511</v>
      </c>
    </row>
    <row r="182" spans="1:11" x14ac:dyDescent="0.3">
      <c r="A182">
        <v>174</v>
      </c>
      <c r="B182" s="3">
        <f t="shared" si="24"/>
        <v>70285.714285713562</v>
      </c>
      <c r="C182" s="3">
        <f t="shared" si="19"/>
        <v>285.71428571428572</v>
      </c>
      <c r="D182" s="3">
        <f t="shared" si="25"/>
        <v>470.47619047618571</v>
      </c>
      <c r="E182" s="3">
        <f t="shared" si="26"/>
        <v>756.19047619047137</v>
      </c>
      <c r="F182" s="3"/>
      <c r="G182">
        <v>174</v>
      </c>
      <c r="H182" s="3">
        <f t="shared" si="20"/>
        <v>102911.85942384056</v>
      </c>
      <c r="I182" s="13">
        <f t="shared" si="21"/>
        <v>852.31305474553244</v>
      </c>
      <c r="J182" s="3">
        <f t="shared" si="22"/>
        <v>687.17995018931197</v>
      </c>
      <c r="K182" s="13">
        <f t="shared" si="23"/>
        <v>165.13310455622047</v>
      </c>
    </row>
    <row r="183" spans="1:11" x14ac:dyDescent="0.3">
      <c r="A183">
        <v>175</v>
      </c>
      <c r="B183" s="3">
        <f t="shared" si="24"/>
        <v>69999.999999999272</v>
      </c>
      <c r="C183" s="3">
        <f t="shared" si="19"/>
        <v>285.71428571428572</v>
      </c>
      <c r="D183" s="3">
        <f t="shared" si="25"/>
        <v>468.57142857142378</v>
      </c>
      <c r="E183" s="3">
        <f t="shared" si="26"/>
        <v>754.28571428570945</v>
      </c>
      <c r="F183" s="3"/>
      <c r="G183">
        <v>175</v>
      </c>
      <c r="H183" s="3">
        <f t="shared" si="20"/>
        <v>102745.62543192063</v>
      </c>
      <c r="I183" s="13">
        <f t="shared" si="21"/>
        <v>852.31305474553244</v>
      </c>
      <c r="J183" s="3">
        <f t="shared" si="22"/>
        <v>686.07906282560384</v>
      </c>
      <c r="K183" s="13">
        <f t="shared" si="23"/>
        <v>166.2339919199286</v>
      </c>
    </row>
    <row r="184" spans="1:11" x14ac:dyDescent="0.3">
      <c r="A184">
        <v>176</v>
      </c>
      <c r="B184" s="3">
        <f t="shared" si="24"/>
        <v>69714.285714284983</v>
      </c>
      <c r="C184" s="3">
        <f t="shared" si="19"/>
        <v>285.71428571428572</v>
      </c>
      <c r="D184" s="3">
        <f t="shared" si="25"/>
        <v>466.66666666666185</v>
      </c>
      <c r="E184" s="3">
        <f t="shared" si="26"/>
        <v>752.38095238094752</v>
      </c>
      <c r="F184" s="3"/>
      <c r="G184">
        <v>176</v>
      </c>
      <c r="H184" s="3">
        <f t="shared" si="20"/>
        <v>102578.28321338791</v>
      </c>
      <c r="I184" s="13">
        <f t="shared" si="21"/>
        <v>852.31305474553244</v>
      </c>
      <c r="J184" s="3">
        <f t="shared" si="22"/>
        <v>684.97083621280433</v>
      </c>
      <c r="K184" s="13">
        <f t="shared" si="23"/>
        <v>167.34221853272811</v>
      </c>
    </row>
    <row r="185" spans="1:11" x14ac:dyDescent="0.3">
      <c r="A185">
        <v>177</v>
      </c>
      <c r="B185" s="3">
        <f t="shared" si="24"/>
        <v>69428.571428570693</v>
      </c>
      <c r="C185" s="3">
        <f t="shared" si="19"/>
        <v>285.71428571428572</v>
      </c>
      <c r="D185" s="3">
        <f t="shared" si="25"/>
        <v>464.76190476189993</v>
      </c>
      <c r="E185" s="3">
        <f t="shared" si="26"/>
        <v>750.47619047618559</v>
      </c>
      <c r="F185" s="3"/>
      <c r="G185">
        <v>177</v>
      </c>
      <c r="H185" s="3">
        <f t="shared" si="20"/>
        <v>102409.82538006497</v>
      </c>
      <c r="I185" s="13">
        <f t="shared" si="21"/>
        <v>852.31305474553244</v>
      </c>
      <c r="J185" s="3">
        <f t="shared" si="22"/>
        <v>683.85522142258617</v>
      </c>
      <c r="K185" s="13">
        <f t="shared" si="23"/>
        <v>168.45783332294627</v>
      </c>
    </row>
    <row r="186" spans="1:11" x14ac:dyDescent="0.3">
      <c r="A186">
        <v>178</v>
      </c>
      <c r="B186" s="3">
        <f t="shared" si="24"/>
        <v>69142.857142856403</v>
      </c>
      <c r="C186" s="3">
        <f t="shared" si="19"/>
        <v>285.71428571428572</v>
      </c>
      <c r="D186" s="3">
        <f t="shared" si="25"/>
        <v>462.857142857138</v>
      </c>
      <c r="E186" s="3">
        <f t="shared" si="26"/>
        <v>748.57142857142367</v>
      </c>
      <c r="F186" s="3"/>
      <c r="G186">
        <v>178</v>
      </c>
      <c r="H186" s="3">
        <f t="shared" si="20"/>
        <v>102240.24449451987</v>
      </c>
      <c r="I186" s="13">
        <f t="shared" si="21"/>
        <v>852.31305474553244</v>
      </c>
      <c r="J186" s="3">
        <f t="shared" si="22"/>
        <v>682.73216920043319</v>
      </c>
      <c r="K186" s="13">
        <f t="shared" si="23"/>
        <v>169.58088554509925</v>
      </c>
    </row>
    <row r="187" spans="1:11" x14ac:dyDescent="0.3">
      <c r="A187">
        <v>179</v>
      </c>
      <c r="B187" s="3">
        <f t="shared" si="24"/>
        <v>68857.142857142113</v>
      </c>
      <c r="C187" s="3">
        <f t="shared" si="19"/>
        <v>285.71428571428572</v>
      </c>
      <c r="D187" s="3">
        <f t="shared" si="25"/>
        <v>460.95238095237607</v>
      </c>
      <c r="E187" s="3">
        <f t="shared" si="26"/>
        <v>746.66666666666174</v>
      </c>
      <c r="F187" s="3"/>
      <c r="G187">
        <v>179</v>
      </c>
      <c r="H187" s="3">
        <f t="shared" si="20"/>
        <v>102069.53306973779</v>
      </c>
      <c r="I187" s="13">
        <f t="shared" si="21"/>
        <v>852.31305474553244</v>
      </c>
      <c r="J187" s="3">
        <f t="shared" si="22"/>
        <v>681.60162996346583</v>
      </c>
      <c r="K187" s="13">
        <f t="shared" si="23"/>
        <v>170.71142478206662</v>
      </c>
    </row>
    <row r="188" spans="1:11" x14ac:dyDescent="0.3">
      <c r="A188">
        <v>180</v>
      </c>
      <c r="B188" s="3">
        <f t="shared" si="24"/>
        <v>68571.428571427823</v>
      </c>
      <c r="C188" s="3">
        <f t="shared" si="19"/>
        <v>285.71428571428572</v>
      </c>
      <c r="D188" s="3">
        <f t="shared" si="25"/>
        <v>459.04761904761409</v>
      </c>
      <c r="E188" s="3">
        <f t="shared" si="26"/>
        <v>744.76190476189981</v>
      </c>
      <c r="F188" s="3"/>
      <c r="G188">
        <v>180</v>
      </c>
      <c r="H188" s="3">
        <f t="shared" si="20"/>
        <v>101897.68356879051</v>
      </c>
      <c r="I188" s="13">
        <f t="shared" si="21"/>
        <v>852.31305474553244</v>
      </c>
      <c r="J188" s="3">
        <f t="shared" si="22"/>
        <v>680.46355379825195</v>
      </c>
      <c r="K188" s="13">
        <f t="shared" si="23"/>
        <v>171.84950094728049</v>
      </c>
    </row>
    <row r="189" spans="1:11" x14ac:dyDescent="0.3">
      <c r="A189">
        <v>181</v>
      </c>
      <c r="B189" s="3">
        <f t="shared" si="24"/>
        <v>68285.714285713533</v>
      </c>
      <c r="C189" s="3">
        <f t="shared" si="19"/>
        <v>285.71428571428572</v>
      </c>
      <c r="D189" s="3">
        <f t="shared" si="25"/>
        <v>457.14285714285216</v>
      </c>
      <c r="E189" s="3">
        <f t="shared" si="26"/>
        <v>742.85714285713789</v>
      </c>
      <c r="F189" s="3"/>
      <c r="G189">
        <v>181</v>
      </c>
      <c r="H189" s="3">
        <f t="shared" si="20"/>
        <v>101724.68840450358</v>
      </c>
      <c r="I189" s="13">
        <f t="shared" si="21"/>
        <v>852.31305474553244</v>
      </c>
      <c r="J189" s="3">
        <f t="shared" si="22"/>
        <v>679.31789045860342</v>
      </c>
      <c r="K189" s="13">
        <f t="shared" si="23"/>
        <v>172.99516428692903</v>
      </c>
    </row>
    <row r="190" spans="1:11" x14ac:dyDescent="0.3">
      <c r="A190">
        <v>182</v>
      </c>
      <c r="B190" s="3">
        <f t="shared" si="24"/>
        <v>67999.999999999243</v>
      </c>
      <c r="C190" s="3">
        <f t="shared" si="19"/>
        <v>285.71428571428572</v>
      </c>
      <c r="D190" s="3">
        <f t="shared" si="25"/>
        <v>455.23809523809024</v>
      </c>
      <c r="E190" s="3">
        <f t="shared" si="26"/>
        <v>740.95238095237596</v>
      </c>
      <c r="F190" s="3"/>
      <c r="G190">
        <v>182</v>
      </c>
      <c r="H190" s="3">
        <f t="shared" si="20"/>
        <v>101550.53993912142</v>
      </c>
      <c r="I190" s="13">
        <f t="shared" si="21"/>
        <v>852.31305474553244</v>
      </c>
      <c r="J190" s="3">
        <f t="shared" si="22"/>
        <v>678.16458936335732</v>
      </c>
      <c r="K190" s="13">
        <f t="shared" si="23"/>
        <v>174.14846538217512</v>
      </c>
    </row>
    <row r="191" spans="1:11" x14ac:dyDescent="0.3">
      <c r="A191">
        <v>183</v>
      </c>
      <c r="B191" s="3">
        <f t="shared" si="24"/>
        <v>67714.285714284953</v>
      </c>
      <c r="C191" s="3">
        <f t="shared" si="19"/>
        <v>285.71428571428572</v>
      </c>
      <c r="D191" s="3">
        <f t="shared" si="25"/>
        <v>453.33333333332831</v>
      </c>
      <c r="E191" s="3">
        <f t="shared" si="26"/>
        <v>739.04761904761403</v>
      </c>
      <c r="F191" s="3"/>
      <c r="G191">
        <v>183</v>
      </c>
      <c r="H191" s="3">
        <f t="shared" si="20"/>
        <v>101375.23048397002</v>
      </c>
      <c r="I191" s="13">
        <f t="shared" si="21"/>
        <v>852.31305474553244</v>
      </c>
      <c r="J191" s="3">
        <f t="shared" si="22"/>
        <v>677.00359959414277</v>
      </c>
      <c r="K191" s="13">
        <f t="shared" si="23"/>
        <v>175.30945515138967</v>
      </c>
    </row>
    <row r="192" spans="1:11" x14ac:dyDescent="0.3">
      <c r="A192">
        <v>184</v>
      </c>
      <c r="B192" s="3">
        <f t="shared" si="24"/>
        <v>67428.571428570664</v>
      </c>
      <c r="C192" s="3">
        <f t="shared" si="19"/>
        <v>285.71428571428572</v>
      </c>
      <c r="D192" s="3">
        <f t="shared" si="25"/>
        <v>451.42857142856639</v>
      </c>
      <c r="E192" s="3">
        <f t="shared" si="26"/>
        <v>737.14285714285211</v>
      </c>
      <c r="F192" s="3"/>
      <c r="G192">
        <v>184</v>
      </c>
      <c r="H192" s="3">
        <f t="shared" si="20"/>
        <v>101198.75229911762</v>
      </c>
      <c r="I192" s="13">
        <f t="shared" si="21"/>
        <v>852.31305474553244</v>
      </c>
      <c r="J192" s="3">
        <f t="shared" si="22"/>
        <v>675.83486989313349</v>
      </c>
      <c r="K192" s="13">
        <f t="shared" si="23"/>
        <v>176.47818485239895</v>
      </c>
    </row>
    <row r="193" spans="1:11" x14ac:dyDescent="0.3">
      <c r="A193">
        <v>185</v>
      </c>
      <c r="B193" s="3">
        <f t="shared" si="24"/>
        <v>67142.857142856374</v>
      </c>
      <c r="C193" s="3">
        <f t="shared" si="19"/>
        <v>285.71428571428572</v>
      </c>
      <c r="D193" s="3">
        <f t="shared" si="25"/>
        <v>449.52380952380446</v>
      </c>
      <c r="E193" s="3">
        <f t="shared" si="26"/>
        <v>735.23809523809018</v>
      </c>
      <c r="F193" s="3"/>
      <c r="G193">
        <v>185</v>
      </c>
      <c r="H193" s="3">
        <f t="shared" si="20"/>
        <v>101021.09759303287</v>
      </c>
      <c r="I193" s="13">
        <f t="shared" si="21"/>
        <v>852.31305474553244</v>
      </c>
      <c r="J193" s="3">
        <f t="shared" si="22"/>
        <v>674.65834866078421</v>
      </c>
      <c r="K193" s="13">
        <f t="shared" si="23"/>
        <v>177.65470608474823</v>
      </c>
    </row>
    <row r="194" spans="1:11" x14ac:dyDescent="0.3">
      <c r="A194">
        <v>186</v>
      </c>
      <c r="B194" s="3">
        <f t="shared" si="24"/>
        <v>66857.142857142084</v>
      </c>
      <c r="C194" s="3">
        <f t="shared" si="19"/>
        <v>285.71428571428572</v>
      </c>
      <c r="D194" s="3">
        <f t="shared" si="25"/>
        <v>447.61904761904253</v>
      </c>
      <c r="E194" s="3">
        <f t="shared" si="26"/>
        <v>733.33333333332826</v>
      </c>
      <c r="F194" s="3"/>
      <c r="G194">
        <v>186</v>
      </c>
      <c r="H194" s="3">
        <f t="shared" si="20"/>
        <v>100842.2585222409</v>
      </c>
      <c r="I194" s="13">
        <f t="shared" si="21"/>
        <v>852.31305474553244</v>
      </c>
      <c r="J194" s="3">
        <f t="shared" si="22"/>
        <v>673.47398395355253</v>
      </c>
      <c r="K194" s="13">
        <f t="shared" si="23"/>
        <v>178.83907079197991</v>
      </c>
    </row>
    <row r="195" spans="1:11" x14ac:dyDescent="0.3">
      <c r="A195">
        <v>187</v>
      </c>
      <c r="B195" s="3">
        <f t="shared" si="24"/>
        <v>66571.428571427794</v>
      </c>
      <c r="C195" s="3">
        <f t="shared" si="19"/>
        <v>285.71428571428572</v>
      </c>
      <c r="D195" s="3">
        <f t="shared" si="25"/>
        <v>445.71428571428061</v>
      </c>
      <c r="E195" s="3">
        <f t="shared" si="26"/>
        <v>731.42857142856633</v>
      </c>
      <c r="F195" s="3"/>
      <c r="G195">
        <v>187</v>
      </c>
      <c r="H195" s="3">
        <f t="shared" si="20"/>
        <v>100662.22719097696</v>
      </c>
      <c r="I195" s="13">
        <f t="shared" si="21"/>
        <v>852.31305474553244</v>
      </c>
      <c r="J195" s="3">
        <f t="shared" si="22"/>
        <v>672.28172348160604</v>
      </c>
      <c r="K195" s="13">
        <f t="shared" si="23"/>
        <v>180.0313312639264</v>
      </c>
    </row>
    <row r="196" spans="1:11" x14ac:dyDescent="0.3">
      <c r="A196">
        <v>188</v>
      </c>
      <c r="B196" s="3">
        <f t="shared" si="24"/>
        <v>66285.714285713504</v>
      </c>
      <c r="C196" s="3">
        <f t="shared" si="19"/>
        <v>285.71428571428572</v>
      </c>
      <c r="D196" s="3">
        <f t="shared" si="25"/>
        <v>443.80952380951868</v>
      </c>
      <c r="E196" s="3">
        <f t="shared" si="26"/>
        <v>729.5238095238044</v>
      </c>
      <c r="F196" s="3"/>
      <c r="G196">
        <v>188</v>
      </c>
      <c r="H196" s="3">
        <f t="shared" si="20"/>
        <v>100480.99565083794</v>
      </c>
      <c r="I196" s="13">
        <f t="shared" si="21"/>
        <v>852.31305474553244</v>
      </c>
      <c r="J196" s="3">
        <f t="shared" si="22"/>
        <v>671.08151460651311</v>
      </c>
      <c r="K196" s="13">
        <f t="shared" si="23"/>
        <v>181.23154013901933</v>
      </c>
    </row>
    <row r="197" spans="1:11" x14ac:dyDescent="0.3">
      <c r="A197">
        <v>189</v>
      </c>
      <c r="B197" s="3">
        <f t="shared" si="24"/>
        <v>65999.999999999214</v>
      </c>
      <c r="C197" s="3">
        <f t="shared" si="19"/>
        <v>285.71428571428572</v>
      </c>
      <c r="D197" s="3">
        <f t="shared" si="25"/>
        <v>441.9047619047567</v>
      </c>
      <c r="E197" s="3">
        <f t="shared" si="26"/>
        <v>727.61904761904248</v>
      </c>
      <c r="F197" s="3"/>
      <c r="G197">
        <v>189</v>
      </c>
      <c r="H197" s="3">
        <f t="shared" si="20"/>
        <v>100298.55590043133</v>
      </c>
      <c r="I197" s="13">
        <f t="shared" si="21"/>
        <v>852.31305474553244</v>
      </c>
      <c r="J197" s="3">
        <f t="shared" si="22"/>
        <v>669.87330433891964</v>
      </c>
      <c r="K197" s="13">
        <f t="shared" si="23"/>
        <v>182.4397504066128</v>
      </c>
    </row>
    <row r="198" spans="1:11" x14ac:dyDescent="0.3">
      <c r="A198">
        <v>190</v>
      </c>
      <c r="B198" s="3">
        <f t="shared" si="24"/>
        <v>65714.285714284924</v>
      </c>
      <c r="C198" s="3">
        <f t="shared" si="19"/>
        <v>285.71428571428572</v>
      </c>
      <c r="D198" s="3">
        <f t="shared" si="25"/>
        <v>439.99999999999477</v>
      </c>
      <c r="E198" s="3">
        <f t="shared" si="26"/>
        <v>725.71428571428055</v>
      </c>
      <c r="F198" s="3"/>
      <c r="G198">
        <v>190</v>
      </c>
      <c r="H198" s="3">
        <f t="shared" si="20"/>
        <v>100114.89988502201</v>
      </c>
      <c r="I198" s="13">
        <f t="shared" si="21"/>
        <v>852.31305474553244</v>
      </c>
      <c r="J198" s="3">
        <f t="shared" si="22"/>
        <v>668.65703933620887</v>
      </c>
      <c r="K198" s="13">
        <f t="shared" si="23"/>
        <v>183.65601540932357</v>
      </c>
    </row>
    <row r="199" spans="1:11" x14ac:dyDescent="0.3">
      <c r="A199">
        <v>191</v>
      </c>
      <c r="B199" s="3">
        <f t="shared" si="24"/>
        <v>65428.571428570642</v>
      </c>
      <c r="C199" s="3">
        <f t="shared" si="19"/>
        <v>285.71428571428572</v>
      </c>
      <c r="D199" s="3">
        <f t="shared" si="25"/>
        <v>438.09523809523284</v>
      </c>
      <c r="E199" s="3">
        <f t="shared" si="26"/>
        <v>723.80952380951862</v>
      </c>
      <c r="F199" s="3"/>
      <c r="G199">
        <v>191</v>
      </c>
      <c r="H199" s="3">
        <f t="shared" si="20"/>
        <v>99930.019496176625</v>
      </c>
      <c r="I199" s="13">
        <f t="shared" si="21"/>
        <v>852.31305474553244</v>
      </c>
      <c r="J199" s="3">
        <f t="shared" si="22"/>
        <v>667.43266590014673</v>
      </c>
      <c r="K199" s="13">
        <f t="shared" si="23"/>
        <v>184.88038884538571</v>
      </c>
    </row>
    <row r="200" spans="1:11" x14ac:dyDescent="0.3">
      <c r="A200">
        <v>192</v>
      </c>
      <c r="B200" s="3">
        <f t="shared" si="24"/>
        <v>65142.857142856359</v>
      </c>
      <c r="C200" s="3">
        <f t="shared" si="19"/>
        <v>285.71428571428572</v>
      </c>
      <c r="D200" s="3">
        <f t="shared" si="25"/>
        <v>436.19047619047097</v>
      </c>
      <c r="E200" s="3">
        <f t="shared" si="26"/>
        <v>721.9047619047567</v>
      </c>
      <c r="F200" s="3"/>
      <c r="G200">
        <v>192</v>
      </c>
      <c r="H200" s="3">
        <f t="shared" si="20"/>
        <v>99743.906571405605</v>
      </c>
      <c r="I200" s="13">
        <f t="shared" si="21"/>
        <v>852.31305474553244</v>
      </c>
      <c r="J200" s="3">
        <f t="shared" si="22"/>
        <v>666.2001299745109</v>
      </c>
      <c r="K200" s="13">
        <f t="shared" si="23"/>
        <v>186.11292477102154</v>
      </c>
    </row>
    <row r="201" spans="1:11" x14ac:dyDescent="0.3">
      <c r="A201">
        <v>193</v>
      </c>
      <c r="B201" s="3">
        <f t="shared" si="24"/>
        <v>64857.142857142077</v>
      </c>
      <c r="C201" s="3">
        <f t="shared" si="19"/>
        <v>285.71428571428572</v>
      </c>
      <c r="D201" s="3">
        <f t="shared" si="25"/>
        <v>434.2857142857091</v>
      </c>
      <c r="E201" s="3">
        <f t="shared" si="26"/>
        <v>719.99999999999477</v>
      </c>
      <c r="F201" s="3"/>
      <c r="G201">
        <v>193</v>
      </c>
      <c r="H201" s="3">
        <f t="shared" si="20"/>
        <v>99556.552893802771</v>
      </c>
      <c r="I201" s="13">
        <f t="shared" si="21"/>
        <v>852.31305474553244</v>
      </c>
      <c r="J201" s="3">
        <f t="shared" si="22"/>
        <v>664.95937714270406</v>
      </c>
      <c r="K201" s="13">
        <f t="shared" si="23"/>
        <v>187.35367760282838</v>
      </c>
    </row>
    <row r="202" spans="1:11" x14ac:dyDescent="0.3">
      <c r="A202">
        <v>194</v>
      </c>
      <c r="B202" s="3">
        <f t="shared" si="24"/>
        <v>64571.428571427794</v>
      </c>
      <c r="C202" s="3">
        <f t="shared" ref="C202:C265" si="27">$B$2/$B$4</f>
        <v>285.71428571428572</v>
      </c>
      <c r="D202" s="3">
        <f t="shared" si="25"/>
        <v>432.38095238094718</v>
      </c>
      <c r="E202" s="3">
        <f t="shared" si="26"/>
        <v>718.09523809523284</v>
      </c>
      <c r="F202" s="3"/>
      <c r="G202">
        <v>194</v>
      </c>
      <c r="H202" s="3">
        <f t="shared" ref="H202:H265" si="28">H201-K202</f>
        <v>99367.950191682598</v>
      </c>
      <c r="I202" s="13">
        <f t="shared" ref="I202:I265" si="29">PMT($B$3, $B$4, -$B$2)</f>
        <v>852.31305474553244</v>
      </c>
      <c r="J202" s="3">
        <f t="shared" ref="J202:J265" si="30">H201*$B$3</f>
        <v>663.7103526253519</v>
      </c>
      <c r="K202" s="13">
        <f t="shared" ref="K202:K265" si="31">I202-J202</f>
        <v>188.60270212018054</v>
      </c>
    </row>
    <row r="203" spans="1:11" x14ac:dyDescent="0.3">
      <c r="A203">
        <v>195</v>
      </c>
      <c r="B203" s="3">
        <f t="shared" si="24"/>
        <v>64285.714285713511</v>
      </c>
      <c r="C203" s="3">
        <f t="shared" si="27"/>
        <v>285.71428571428572</v>
      </c>
      <c r="D203" s="3">
        <f t="shared" si="25"/>
        <v>430.47619047618531</v>
      </c>
      <c r="E203" s="3">
        <f t="shared" si="26"/>
        <v>716.19047619047103</v>
      </c>
      <c r="F203" s="3"/>
      <c r="G203">
        <v>195</v>
      </c>
      <c r="H203" s="3">
        <f t="shared" si="28"/>
        <v>99178.090138214946</v>
      </c>
      <c r="I203" s="13">
        <f t="shared" si="29"/>
        <v>852.31305474553244</v>
      </c>
      <c r="J203" s="3">
        <f t="shared" si="30"/>
        <v>662.45300127788403</v>
      </c>
      <c r="K203" s="13">
        <f t="shared" si="31"/>
        <v>189.86005346764841</v>
      </c>
    </row>
    <row r="204" spans="1:11" x14ac:dyDescent="0.3">
      <c r="A204">
        <v>196</v>
      </c>
      <c r="B204" s="3">
        <f t="shared" si="24"/>
        <v>63999.999999999229</v>
      </c>
      <c r="C204" s="3">
        <f t="shared" si="27"/>
        <v>285.71428571428572</v>
      </c>
      <c r="D204" s="3">
        <f t="shared" si="25"/>
        <v>428.57142857142344</v>
      </c>
      <c r="E204" s="3">
        <f t="shared" si="26"/>
        <v>714.28571428570922</v>
      </c>
      <c r="F204" s="3"/>
      <c r="G204">
        <v>196</v>
      </c>
      <c r="H204" s="3">
        <f t="shared" si="28"/>
        <v>98986.964351057512</v>
      </c>
      <c r="I204" s="13">
        <f t="shared" si="29"/>
        <v>852.31305474553244</v>
      </c>
      <c r="J204" s="3">
        <f t="shared" si="30"/>
        <v>661.18726758809964</v>
      </c>
      <c r="K204" s="13">
        <f t="shared" si="31"/>
        <v>191.1257871574328</v>
      </c>
    </row>
    <row r="205" spans="1:11" x14ac:dyDescent="0.3">
      <c r="A205">
        <v>197</v>
      </c>
      <c r="B205" s="3">
        <f t="shared" si="24"/>
        <v>63714.285714284946</v>
      </c>
      <c r="C205" s="3">
        <f t="shared" si="27"/>
        <v>285.71428571428572</v>
      </c>
      <c r="D205" s="3">
        <f t="shared" si="25"/>
        <v>426.66666666666157</v>
      </c>
      <c r="E205" s="3">
        <f t="shared" si="26"/>
        <v>712.38095238094729</v>
      </c>
      <c r="F205" s="3"/>
      <c r="G205">
        <v>197</v>
      </c>
      <c r="H205" s="3">
        <f t="shared" si="28"/>
        <v>98794.564391985696</v>
      </c>
      <c r="I205" s="13">
        <f t="shared" si="29"/>
        <v>852.31305474553244</v>
      </c>
      <c r="J205" s="3">
        <f t="shared" si="30"/>
        <v>659.91309567371684</v>
      </c>
      <c r="K205" s="13">
        <f t="shared" si="31"/>
        <v>192.3999590718156</v>
      </c>
    </row>
    <row r="206" spans="1:11" x14ac:dyDescent="0.3">
      <c r="A206">
        <v>198</v>
      </c>
      <c r="B206" s="3">
        <f t="shared" si="24"/>
        <v>63428.571428570664</v>
      </c>
      <c r="C206" s="3">
        <f t="shared" si="27"/>
        <v>285.71428571428572</v>
      </c>
      <c r="D206" s="3">
        <f t="shared" si="25"/>
        <v>424.76190476189964</v>
      </c>
      <c r="E206" s="3">
        <f t="shared" si="26"/>
        <v>710.47619047618537</v>
      </c>
      <c r="F206" s="3"/>
      <c r="G206">
        <v>198</v>
      </c>
      <c r="H206" s="3">
        <f t="shared" si="28"/>
        <v>98600.881766520062</v>
      </c>
      <c r="I206" s="13">
        <f t="shared" si="29"/>
        <v>852.31305474553244</v>
      </c>
      <c r="J206" s="3">
        <f t="shared" si="30"/>
        <v>658.63042927990466</v>
      </c>
      <c r="K206" s="13">
        <f t="shared" si="31"/>
        <v>193.68262546562778</v>
      </c>
    </row>
    <row r="207" spans="1:11" x14ac:dyDescent="0.3">
      <c r="A207">
        <v>199</v>
      </c>
      <c r="B207" s="3">
        <f t="shared" si="24"/>
        <v>63142.857142856381</v>
      </c>
      <c r="C207" s="3">
        <f t="shared" si="27"/>
        <v>285.71428571428572</v>
      </c>
      <c r="D207" s="3">
        <f t="shared" si="25"/>
        <v>422.85714285713777</v>
      </c>
      <c r="E207" s="3">
        <f t="shared" si="26"/>
        <v>708.57142857142344</v>
      </c>
      <c r="F207" s="3"/>
      <c r="G207">
        <v>199</v>
      </c>
      <c r="H207" s="3">
        <f t="shared" si="28"/>
        <v>98405.907923551335</v>
      </c>
      <c r="I207" s="13">
        <f t="shared" si="29"/>
        <v>852.31305474553244</v>
      </c>
      <c r="J207" s="3">
        <f t="shared" si="30"/>
        <v>657.33921177680043</v>
      </c>
      <c r="K207" s="13">
        <f t="shared" si="31"/>
        <v>194.97384296873201</v>
      </c>
    </row>
    <row r="208" spans="1:11" x14ac:dyDescent="0.3">
      <c r="A208">
        <v>200</v>
      </c>
      <c r="B208" s="3">
        <f t="shared" si="24"/>
        <v>62857.142857142098</v>
      </c>
      <c r="C208" s="3">
        <f t="shared" si="27"/>
        <v>285.71428571428572</v>
      </c>
      <c r="D208" s="3">
        <f t="shared" si="25"/>
        <v>420.9523809523759</v>
      </c>
      <c r="E208" s="3">
        <f t="shared" si="26"/>
        <v>706.66666666666163</v>
      </c>
      <c r="F208" s="3"/>
      <c r="G208">
        <v>200</v>
      </c>
      <c r="H208" s="3">
        <f t="shared" si="28"/>
        <v>98209.634254962817</v>
      </c>
      <c r="I208" s="13">
        <f t="shared" si="29"/>
        <v>852.31305474553244</v>
      </c>
      <c r="J208" s="3">
        <f t="shared" si="30"/>
        <v>656.03938615700895</v>
      </c>
      <c r="K208" s="13">
        <f t="shared" si="31"/>
        <v>196.27366858852349</v>
      </c>
    </row>
    <row r="209" spans="1:11" x14ac:dyDescent="0.3">
      <c r="A209">
        <v>201</v>
      </c>
      <c r="B209" s="3">
        <f t="shared" ref="B209:B272" si="32">B208-C209</f>
        <v>62571.428571427816</v>
      </c>
      <c r="C209" s="3">
        <f t="shared" si="27"/>
        <v>285.71428571428572</v>
      </c>
      <c r="D209" s="3">
        <f t="shared" ref="D209:D272" si="33">B208*$B$3</f>
        <v>419.04761904761403</v>
      </c>
      <c r="E209" s="3">
        <f t="shared" ref="E209:E272" si="34">D209+C209</f>
        <v>704.76190476189981</v>
      </c>
      <c r="F209" s="3"/>
      <c r="G209">
        <v>201</v>
      </c>
      <c r="H209" s="3">
        <f t="shared" si="28"/>
        <v>98012.052095250372</v>
      </c>
      <c r="I209" s="13">
        <f t="shared" si="29"/>
        <v>852.31305474553244</v>
      </c>
      <c r="J209" s="3">
        <f t="shared" si="30"/>
        <v>654.73089503308552</v>
      </c>
      <c r="K209" s="13">
        <f t="shared" si="31"/>
        <v>197.58215971244692</v>
      </c>
    </row>
    <row r="210" spans="1:11" x14ac:dyDescent="0.3">
      <c r="A210">
        <v>202</v>
      </c>
      <c r="B210" s="3">
        <f t="shared" si="32"/>
        <v>62285.714285713533</v>
      </c>
      <c r="C210" s="3">
        <f t="shared" si="27"/>
        <v>285.71428571428572</v>
      </c>
      <c r="D210" s="3">
        <f t="shared" si="33"/>
        <v>417.14285714285211</v>
      </c>
      <c r="E210" s="3">
        <f t="shared" si="34"/>
        <v>702.85714285713789</v>
      </c>
      <c r="F210" s="3"/>
      <c r="G210">
        <v>202</v>
      </c>
      <c r="H210" s="3">
        <f t="shared" si="28"/>
        <v>97813.152721139835</v>
      </c>
      <c r="I210" s="13">
        <f t="shared" si="29"/>
        <v>852.31305474553244</v>
      </c>
      <c r="J210" s="3">
        <f t="shared" si="30"/>
        <v>653.41368063500249</v>
      </c>
      <c r="K210" s="13">
        <f t="shared" si="31"/>
        <v>198.89937411052995</v>
      </c>
    </row>
    <row r="211" spans="1:11" x14ac:dyDescent="0.3">
      <c r="A211">
        <v>203</v>
      </c>
      <c r="B211" s="3">
        <f t="shared" si="32"/>
        <v>61999.999999999251</v>
      </c>
      <c r="C211" s="3">
        <f t="shared" si="27"/>
        <v>285.71428571428572</v>
      </c>
      <c r="D211" s="3">
        <f t="shared" si="33"/>
        <v>415.23809523809024</v>
      </c>
      <c r="E211" s="3">
        <f t="shared" si="34"/>
        <v>700.95238095237596</v>
      </c>
      <c r="F211" s="3"/>
      <c r="G211">
        <v>203</v>
      </c>
      <c r="H211" s="3">
        <f t="shared" si="28"/>
        <v>97612.927351201899</v>
      </c>
      <c r="I211" s="13">
        <f t="shared" si="29"/>
        <v>852.31305474553244</v>
      </c>
      <c r="J211" s="3">
        <f t="shared" si="30"/>
        <v>652.08768480759898</v>
      </c>
      <c r="K211" s="13">
        <f t="shared" si="31"/>
        <v>200.22536993793346</v>
      </c>
    </row>
    <row r="212" spans="1:11" x14ac:dyDescent="0.3">
      <c r="A212">
        <v>204</v>
      </c>
      <c r="B212" s="3">
        <f t="shared" si="32"/>
        <v>61714.285714284968</v>
      </c>
      <c r="C212" s="3">
        <f t="shared" si="27"/>
        <v>285.71428571428572</v>
      </c>
      <c r="D212" s="3">
        <f t="shared" si="33"/>
        <v>413.33333333332837</v>
      </c>
      <c r="E212" s="3">
        <f t="shared" si="34"/>
        <v>699.04761904761403</v>
      </c>
      <c r="F212" s="3"/>
      <c r="G212">
        <v>204</v>
      </c>
      <c r="H212" s="3">
        <f t="shared" si="28"/>
        <v>97411.367145464377</v>
      </c>
      <c r="I212" s="13">
        <f t="shared" si="29"/>
        <v>852.31305474553244</v>
      </c>
      <c r="J212" s="3">
        <f t="shared" si="30"/>
        <v>650.75284900801273</v>
      </c>
      <c r="K212" s="13">
        <f t="shared" si="31"/>
        <v>201.56020573751971</v>
      </c>
    </row>
    <row r="213" spans="1:11" x14ac:dyDescent="0.3">
      <c r="A213">
        <v>205</v>
      </c>
      <c r="B213" s="3">
        <f t="shared" si="32"/>
        <v>61428.571428570685</v>
      </c>
      <c r="C213" s="3">
        <f t="shared" si="27"/>
        <v>285.71428571428572</v>
      </c>
      <c r="D213" s="3">
        <f t="shared" si="33"/>
        <v>411.4285714285665</v>
      </c>
      <c r="E213" s="3">
        <f t="shared" si="34"/>
        <v>697.14285714285222</v>
      </c>
      <c r="F213" s="3"/>
      <c r="G213">
        <v>205</v>
      </c>
      <c r="H213" s="3">
        <f t="shared" si="28"/>
        <v>97208.463205021937</v>
      </c>
      <c r="I213" s="13">
        <f t="shared" si="29"/>
        <v>852.31305474553244</v>
      </c>
      <c r="J213" s="3">
        <f t="shared" si="30"/>
        <v>649.40911430309586</v>
      </c>
      <c r="K213" s="13">
        <f t="shared" si="31"/>
        <v>202.90394044243658</v>
      </c>
    </row>
    <row r="214" spans="1:11" x14ac:dyDescent="0.3">
      <c r="A214">
        <v>206</v>
      </c>
      <c r="B214" s="3">
        <f t="shared" si="32"/>
        <v>61142.857142856403</v>
      </c>
      <c r="C214" s="3">
        <f t="shared" si="27"/>
        <v>285.71428571428572</v>
      </c>
      <c r="D214" s="3">
        <f t="shared" si="33"/>
        <v>409.52380952380457</v>
      </c>
      <c r="E214" s="3">
        <f t="shared" si="34"/>
        <v>695.2380952380903</v>
      </c>
      <c r="F214" s="3"/>
      <c r="G214">
        <v>206</v>
      </c>
      <c r="H214" s="3">
        <f t="shared" si="28"/>
        <v>97004.206571643212</v>
      </c>
      <c r="I214" s="13">
        <f t="shared" si="29"/>
        <v>852.31305474553244</v>
      </c>
      <c r="J214" s="3">
        <f t="shared" si="30"/>
        <v>648.05642136681297</v>
      </c>
      <c r="K214" s="13">
        <f t="shared" si="31"/>
        <v>204.25663337871947</v>
      </c>
    </row>
    <row r="215" spans="1:11" x14ac:dyDescent="0.3">
      <c r="A215">
        <v>207</v>
      </c>
      <c r="B215" s="3">
        <f t="shared" si="32"/>
        <v>60857.14285714212</v>
      </c>
      <c r="C215" s="3">
        <f t="shared" si="27"/>
        <v>285.71428571428572</v>
      </c>
      <c r="D215" s="3">
        <f t="shared" si="33"/>
        <v>407.6190476190427</v>
      </c>
      <c r="E215" s="3">
        <f t="shared" si="34"/>
        <v>693.33333333332848</v>
      </c>
      <c r="F215" s="3"/>
      <c r="G215">
        <v>207</v>
      </c>
      <c r="H215" s="3">
        <f t="shared" si="28"/>
        <v>96798.588227375294</v>
      </c>
      <c r="I215" s="13">
        <f t="shared" si="29"/>
        <v>852.31305474553244</v>
      </c>
      <c r="J215" s="3">
        <f t="shared" si="30"/>
        <v>646.69471047762147</v>
      </c>
      <c r="K215" s="13">
        <f t="shared" si="31"/>
        <v>205.61834426791097</v>
      </c>
    </row>
    <row r="216" spans="1:11" x14ac:dyDescent="0.3">
      <c r="A216">
        <v>208</v>
      </c>
      <c r="B216" s="3">
        <f t="shared" si="32"/>
        <v>60571.428571427838</v>
      </c>
      <c r="C216" s="3">
        <f t="shared" si="27"/>
        <v>285.71428571428572</v>
      </c>
      <c r="D216" s="3">
        <f t="shared" si="33"/>
        <v>405.71428571428083</v>
      </c>
      <c r="E216" s="3">
        <f t="shared" si="34"/>
        <v>691.42857142856656</v>
      </c>
      <c r="F216" s="3"/>
      <c r="G216">
        <v>208</v>
      </c>
      <c r="H216" s="3">
        <f t="shared" si="28"/>
        <v>96591.599094145597</v>
      </c>
      <c r="I216" s="13">
        <f t="shared" si="29"/>
        <v>852.31305474553244</v>
      </c>
      <c r="J216" s="3">
        <f t="shared" si="30"/>
        <v>645.32392151583531</v>
      </c>
      <c r="K216" s="13">
        <f t="shared" si="31"/>
        <v>206.98913322969713</v>
      </c>
    </row>
    <row r="217" spans="1:11" x14ac:dyDescent="0.3">
      <c r="A217">
        <v>209</v>
      </c>
      <c r="B217" s="3">
        <f t="shared" si="32"/>
        <v>60285.714285713555</v>
      </c>
      <c r="C217" s="3">
        <f t="shared" si="27"/>
        <v>285.71428571428572</v>
      </c>
      <c r="D217" s="3">
        <f t="shared" si="33"/>
        <v>403.80952380951896</v>
      </c>
      <c r="E217" s="3">
        <f t="shared" si="34"/>
        <v>689.52380952380463</v>
      </c>
      <c r="F217" s="3"/>
      <c r="G217">
        <v>209</v>
      </c>
      <c r="H217" s="3">
        <f t="shared" si="28"/>
        <v>96383.230033361033</v>
      </c>
      <c r="I217" s="13">
        <f t="shared" si="29"/>
        <v>852.31305474553244</v>
      </c>
      <c r="J217" s="3">
        <f t="shared" si="30"/>
        <v>643.94399396097072</v>
      </c>
      <c r="K217" s="13">
        <f t="shared" si="31"/>
        <v>208.36906078456173</v>
      </c>
    </row>
    <row r="218" spans="1:11" x14ac:dyDescent="0.3">
      <c r="A218">
        <v>210</v>
      </c>
      <c r="B218" s="3">
        <f t="shared" si="32"/>
        <v>59999.999999999272</v>
      </c>
      <c r="C218" s="3">
        <f t="shared" si="27"/>
        <v>285.71428571428572</v>
      </c>
      <c r="D218" s="3">
        <f t="shared" si="33"/>
        <v>401.90476190475704</v>
      </c>
      <c r="E218" s="3">
        <f t="shared" si="34"/>
        <v>687.6190476190427</v>
      </c>
      <c r="F218" s="3"/>
      <c r="G218">
        <v>210</v>
      </c>
      <c r="H218" s="3">
        <f t="shared" si="28"/>
        <v>96173.47184550458</v>
      </c>
      <c r="I218" s="13">
        <f t="shared" si="29"/>
        <v>852.31305474553244</v>
      </c>
      <c r="J218" s="3">
        <f t="shared" si="30"/>
        <v>642.55486688907354</v>
      </c>
      <c r="K218" s="13">
        <f t="shared" si="31"/>
        <v>209.7581878564589</v>
      </c>
    </row>
    <row r="219" spans="1:11" x14ac:dyDescent="0.3">
      <c r="A219">
        <v>211</v>
      </c>
      <c r="B219" s="3">
        <f t="shared" si="32"/>
        <v>59714.28571428499</v>
      </c>
      <c r="C219" s="3">
        <f t="shared" si="27"/>
        <v>285.71428571428572</v>
      </c>
      <c r="D219" s="3">
        <f t="shared" si="33"/>
        <v>399.99999999999517</v>
      </c>
      <c r="E219" s="3">
        <f t="shared" si="34"/>
        <v>685.71428571428089</v>
      </c>
      <c r="F219" s="3"/>
      <c r="G219">
        <v>211</v>
      </c>
      <c r="H219" s="3">
        <f t="shared" si="28"/>
        <v>95962.315269729079</v>
      </c>
      <c r="I219" s="13">
        <f t="shared" si="29"/>
        <v>852.31305474553244</v>
      </c>
      <c r="J219" s="3">
        <f t="shared" si="30"/>
        <v>641.15647897003055</v>
      </c>
      <c r="K219" s="13">
        <f t="shared" si="31"/>
        <v>211.15657577550189</v>
      </c>
    </row>
    <row r="220" spans="1:11" x14ac:dyDescent="0.3">
      <c r="A220">
        <v>212</v>
      </c>
      <c r="B220" s="3">
        <f t="shared" si="32"/>
        <v>59428.571428570707</v>
      </c>
      <c r="C220" s="3">
        <f t="shared" si="27"/>
        <v>285.71428571428572</v>
      </c>
      <c r="D220" s="3">
        <f t="shared" si="33"/>
        <v>398.0952380952333</v>
      </c>
      <c r="E220" s="3">
        <f t="shared" si="34"/>
        <v>683.80952380951908</v>
      </c>
      <c r="F220" s="3"/>
      <c r="G220">
        <v>212</v>
      </c>
      <c r="H220" s="3">
        <f t="shared" si="28"/>
        <v>95749.750983448408</v>
      </c>
      <c r="I220" s="13">
        <f t="shared" si="29"/>
        <v>852.31305474553244</v>
      </c>
      <c r="J220" s="3">
        <f t="shared" si="30"/>
        <v>639.74876846486052</v>
      </c>
      <c r="K220" s="13">
        <f t="shared" si="31"/>
        <v>212.56428628067192</v>
      </c>
    </row>
    <row r="221" spans="1:11" x14ac:dyDescent="0.3">
      <c r="A221">
        <v>213</v>
      </c>
      <c r="B221" s="3">
        <f t="shared" si="32"/>
        <v>59142.857142856425</v>
      </c>
      <c r="C221" s="3">
        <f t="shared" si="27"/>
        <v>285.71428571428572</v>
      </c>
      <c r="D221" s="3">
        <f t="shared" si="33"/>
        <v>396.19047619047143</v>
      </c>
      <c r="E221" s="3">
        <f t="shared" si="34"/>
        <v>681.90476190475715</v>
      </c>
      <c r="F221" s="3"/>
      <c r="G221">
        <v>213</v>
      </c>
      <c r="H221" s="3">
        <f t="shared" si="28"/>
        <v>95535.769601925858</v>
      </c>
      <c r="I221" s="13">
        <f t="shared" si="29"/>
        <v>852.31305474553244</v>
      </c>
      <c r="J221" s="3">
        <f t="shared" si="30"/>
        <v>638.33167322298948</v>
      </c>
      <c r="K221" s="13">
        <f t="shared" si="31"/>
        <v>213.98138152254296</v>
      </c>
    </row>
    <row r="222" spans="1:11" x14ac:dyDescent="0.3">
      <c r="A222">
        <v>214</v>
      </c>
      <c r="B222" s="3">
        <f t="shared" si="32"/>
        <v>58857.142857142142</v>
      </c>
      <c r="C222" s="3">
        <f t="shared" si="27"/>
        <v>285.71428571428572</v>
      </c>
      <c r="D222" s="3">
        <f t="shared" si="33"/>
        <v>394.2857142857095</v>
      </c>
      <c r="E222" s="3">
        <f t="shared" si="34"/>
        <v>679.99999999999523</v>
      </c>
      <c r="F222" s="3"/>
      <c r="G222">
        <v>214</v>
      </c>
      <c r="H222" s="3">
        <f t="shared" si="28"/>
        <v>95320.361677859837</v>
      </c>
      <c r="I222" s="13">
        <f t="shared" si="29"/>
        <v>852.31305474553244</v>
      </c>
      <c r="J222" s="3">
        <f t="shared" si="30"/>
        <v>636.90513067950576</v>
      </c>
      <c r="K222" s="13">
        <f t="shared" si="31"/>
        <v>215.40792406602668</v>
      </c>
    </row>
    <row r="223" spans="1:11" x14ac:dyDescent="0.3">
      <c r="A223">
        <v>215</v>
      </c>
      <c r="B223" s="3">
        <f t="shared" si="32"/>
        <v>58571.428571427859</v>
      </c>
      <c r="C223" s="3">
        <f t="shared" si="27"/>
        <v>285.71428571428572</v>
      </c>
      <c r="D223" s="3">
        <f t="shared" si="33"/>
        <v>392.38095238094763</v>
      </c>
      <c r="E223" s="3">
        <f t="shared" si="34"/>
        <v>678.0952380952333</v>
      </c>
      <c r="F223" s="3"/>
      <c r="G223">
        <v>215</v>
      </c>
      <c r="H223" s="3">
        <f t="shared" si="28"/>
        <v>95103.51770096671</v>
      </c>
      <c r="I223" s="13">
        <f t="shared" si="29"/>
        <v>852.31305474553244</v>
      </c>
      <c r="J223" s="3">
        <f t="shared" si="30"/>
        <v>635.46907785239898</v>
      </c>
      <c r="K223" s="13">
        <f t="shared" si="31"/>
        <v>216.84397689313346</v>
      </c>
    </row>
    <row r="224" spans="1:11" x14ac:dyDescent="0.3">
      <c r="A224">
        <v>216</v>
      </c>
      <c r="B224" s="3">
        <f t="shared" si="32"/>
        <v>58285.714285713577</v>
      </c>
      <c r="C224" s="3">
        <f t="shared" si="27"/>
        <v>285.71428571428572</v>
      </c>
      <c r="D224" s="3">
        <f t="shared" si="33"/>
        <v>390.47619047618576</v>
      </c>
      <c r="E224" s="3">
        <f t="shared" si="34"/>
        <v>676.19047619047149</v>
      </c>
      <c r="F224" s="3"/>
      <c r="G224">
        <v>216</v>
      </c>
      <c r="H224" s="3">
        <f t="shared" si="28"/>
        <v>94885.228097560961</v>
      </c>
      <c r="I224" s="13">
        <f t="shared" si="29"/>
        <v>852.31305474553244</v>
      </c>
      <c r="J224" s="3">
        <f t="shared" si="30"/>
        <v>634.02345133977815</v>
      </c>
      <c r="K224" s="13">
        <f t="shared" si="31"/>
        <v>218.28960340575429</v>
      </c>
    </row>
    <row r="225" spans="1:11" x14ac:dyDescent="0.3">
      <c r="A225">
        <v>217</v>
      </c>
      <c r="B225" s="3">
        <f t="shared" si="32"/>
        <v>57999.999999999294</v>
      </c>
      <c r="C225" s="3">
        <f t="shared" si="27"/>
        <v>285.71428571428572</v>
      </c>
      <c r="D225" s="3">
        <f t="shared" si="33"/>
        <v>388.57142857142389</v>
      </c>
      <c r="E225" s="3">
        <f t="shared" si="34"/>
        <v>674.28571428570967</v>
      </c>
      <c r="F225" s="3"/>
      <c r="G225">
        <v>217</v>
      </c>
      <c r="H225" s="3">
        <f t="shared" si="28"/>
        <v>94665.483230132508</v>
      </c>
      <c r="I225" s="13">
        <f t="shared" si="29"/>
        <v>852.31305474553244</v>
      </c>
      <c r="J225" s="3">
        <f t="shared" si="30"/>
        <v>632.56818731707313</v>
      </c>
      <c r="K225" s="13">
        <f t="shared" si="31"/>
        <v>219.74486742845932</v>
      </c>
    </row>
    <row r="226" spans="1:11" x14ac:dyDescent="0.3">
      <c r="A226">
        <v>218</v>
      </c>
      <c r="B226" s="3">
        <f t="shared" si="32"/>
        <v>57714.285714285012</v>
      </c>
      <c r="C226" s="3">
        <f t="shared" si="27"/>
        <v>285.71428571428572</v>
      </c>
      <c r="D226" s="3">
        <f t="shared" si="33"/>
        <v>386.66666666666197</v>
      </c>
      <c r="E226" s="3">
        <f t="shared" si="34"/>
        <v>672.38095238094775</v>
      </c>
      <c r="F226" s="3"/>
      <c r="G226">
        <v>218</v>
      </c>
      <c r="H226" s="3">
        <f t="shared" si="28"/>
        <v>94444.273396921199</v>
      </c>
      <c r="I226" s="13">
        <f t="shared" si="29"/>
        <v>852.31305474553244</v>
      </c>
      <c r="J226" s="3">
        <f t="shared" si="30"/>
        <v>631.1032215342168</v>
      </c>
      <c r="K226" s="13">
        <f t="shared" si="31"/>
        <v>221.20983321131564</v>
      </c>
    </row>
    <row r="227" spans="1:11" x14ac:dyDescent="0.3">
      <c r="A227">
        <v>219</v>
      </c>
      <c r="B227" s="3">
        <f t="shared" si="32"/>
        <v>57428.571428570729</v>
      </c>
      <c r="C227" s="3">
        <f t="shared" si="27"/>
        <v>285.71428571428572</v>
      </c>
      <c r="D227" s="3">
        <f t="shared" si="33"/>
        <v>384.7619047619001</v>
      </c>
      <c r="E227" s="3">
        <f t="shared" si="34"/>
        <v>670.47619047618582</v>
      </c>
      <c r="F227" s="3"/>
      <c r="G227">
        <v>219</v>
      </c>
      <c r="H227" s="3">
        <f t="shared" si="28"/>
        <v>94221.58883148848</v>
      </c>
      <c r="I227" s="13">
        <f t="shared" si="29"/>
        <v>852.31305474553244</v>
      </c>
      <c r="J227" s="3">
        <f t="shared" si="30"/>
        <v>629.62848931280803</v>
      </c>
      <c r="K227" s="13">
        <f t="shared" si="31"/>
        <v>222.68456543272441</v>
      </c>
    </row>
    <row r="228" spans="1:11" x14ac:dyDescent="0.3">
      <c r="A228">
        <v>220</v>
      </c>
      <c r="B228" s="3">
        <f t="shared" si="32"/>
        <v>57142.857142856446</v>
      </c>
      <c r="C228" s="3">
        <f t="shared" si="27"/>
        <v>285.71428571428572</v>
      </c>
      <c r="D228" s="3">
        <f t="shared" si="33"/>
        <v>382.85714285713823</v>
      </c>
      <c r="E228" s="3">
        <f t="shared" si="34"/>
        <v>668.57142857142389</v>
      </c>
      <c r="F228" s="3"/>
      <c r="G228">
        <v>220</v>
      </c>
      <c r="H228" s="3">
        <f t="shared" si="28"/>
        <v>93997.419702286206</v>
      </c>
      <c r="I228" s="13">
        <f t="shared" si="29"/>
        <v>852.31305474553244</v>
      </c>
      <c r="J228" s="3">
        <f t="shared" si="30"/>
        <v>628.14392554325661</v>
      </c>
      <c r="K228" s="13">
        <f t="shared" si="31"/>
        <v>224.16912920227583</v>
      </c>
    </row>
    <row r="229" spans="1:11" x14ac:dyDescent="0.3">
      <c r="A229">
        <v>221</v>
      </c>
      <c r="B229" s="3">
        <f t="shared" si="32"/>
        <v>56857.142857142164</v>
      </c>
      <c r="C229" s="3">
        <f t="shared" si="27"/>
        <v>285.71428571428572</v>
      </c>
      <c r="D229" s="3">
        <f t="shared" si="33"/>
        <v>380.95238095237636</v>
      </c>
      <c r="E229" s="3">
        <f t="shared" si="34"/>
        <v>666.66666666666208</v>
      </c>
      <c r="F229" s="3"/>
      <c r="G229">
        <v>221</v>
      </c>
      <c r="H229" s="3">
        <f t="shared" si="28"/>
        <v>93771.756112222589</v>
      </c>
      <c r="I229" s="13">
        <f t="shared" si="29"/>
        <v>852.31305474553244</v>
      </c>
      <c r="J229" s="3">
        <f t="shared" si="30"/>
        <v>626.64946468190806</v>
      </c>
      <c r="K229" s="13">
        <f t="shared" si="31"/>
        <v>225.66359006362438</v>
      </c>
    </row>
    <row r="230" spans="1:11" x14ac:dyDescent="0.3">
      <c r="A230">
        <v>222</v>
      </c>
      <c r="B230" s="3">
        <f t="shared" si="32"/>
        <v>56571.428571427881</v>
      </c>
      <c r="C230" s="3">
        <f t="shared" si="27"/>
        <v>285.71428571428572</v>
      </c>
      <c r="D230" s="3">
        <f t="shared" si="33"/>
        <v>379.04761904761443</v>
      </c>
      <c r="E230" s="3">
        <f t="shared" si="34"/>
        <v>664.76190476190015</v>
      </c>
      <c r="F230" s="3"/>
      <c r="G230">
        <v>222</v>
      </c>
      <c r="H230" s="3">
        <f t="shared" si="28"/>
        <v>93544.588098225213</v>
      </c>
      <c r="I230" s="13">
        <f t="shared" si="29"/>
        <v>852.31305474553244</v>
      </c>
      <c r="J230" s="3">
        <f t="shared" si="30"/>
        <v>625.14504074815068</v>
      </c>
      <c r="K230" s="13">
        <f t="shared" si="31"/>
        <v>227.16801399738176</v>
      </c>
    </row>
    <row r="231" spans="1:11" x14ac:dyDescent="0.3">
      <c r="A231">
        <v>223</v>
      </c>
      <c r="B231" s="3">
        <f t="shared" si="32"/>
        <v>56285.714285713599</v>
      </c>
      <c r="C231" s="3">
        <f t="shared" si="27"/>
        <v>285.71428571428572</v>
      </c>
      <c r="D231" s="3">
        <f t="shared" si="33"/>
        <v>377.14285714285256</v>
      </c>
      <c r="E231" s="3">
        <f t="shared" si="34"/>
        <v>662.85714285713834</v>
      </c>
      <c r="F231" s="3"/>
      <c r="G231">
        <v>223</v>
      </c>
      <c r="H231" s="3">
        <f t="shared" si="28"/>
        <v>93315.905630801179</v>
      </c>
      <c r="I231" s="13">
        <f t="shared" si="29"/>
        <v>852.31305474553244</v>
      </c>
      <c r="J231" s="3">
        <f t="shared" si="30"/>
        <v>623.63058732150148</v>
      </c>
      <c r="K231" s="13">
        <f t="shared" si="31"/>
        <v>228.68246742403096</v>
      </c>
    </row>
    <row r="232" spans="1:11" x14ac:dyDescent="0.3">
      <c r="A232">
        <v>224</v>
      </c>
      <c r="B232" s="3">
        <f t="shared" si="32"/>
        <v>55999.999999999316</v>
      </c>
      <c r="C232" s="3">
        <f t="shared" si="27"/>
        <v>285.71428571428572</v>
      </c>
      <c r="D232" s="3">
        <f t="shared" si="33"/>
        <v>375.23809523809069</v>
      </c>
      <c r="E232" s="3">
        <f t="shared" si="34"/>
        <v>660.95238095237642</v>
      </c>
      <c r="F232" s="3"/>
      <c r="G232">
        <v>224</v>
      </c>
      <c r="H232" s="3">
        <f t="shared" si="28"/>
        <v>93085.698613594315</v>
      </c>
      <c r="I232" s="13">
        <f t="shared" si="29"/>
        <v>852.31305474553244</v>
      </c>
      <c r="J232" s="3">
        <f t="shared" si="30"/>
        <v>622.10603753867451</v>
      </c>
      <c r="K232" s="13">
        <f t="shared" si="31"/>
        <v>230.20701720685793</v>
      </c>
    </row>
    <row r="233" spans="1:11" x14ac:dyDescent="0.3">
      <c r="A233">
        <v>225</v>
      </c>
      <c r="B233" s="3">
        <f t="shared" si="32"/>
        <v>55714.285714285033</v>
      </c>
      <c r="C233" s="3">
        <f t="shared" si="27"/>
        <v>285.71428571428572</v>
      </c>
      <c r="D233" s="3">
        <f t="shared" si="33"/>
        <v>373.33333333332882</v>
      </c>
      <c r="E233" s="3">
        <f t="shared" si="34"/>
        <v>659.04761904761449</v>
      </c>
      <c r="F233" s="3"/>
      <c r="G233">
        <v>225</v>
      </c>
      <c r="H233" s="3">
        <f t="shared" si="28"/>
        <v>92853.956882939412</v>
      </c>
      <c r="I233" s="13">
        <f t="shared" si="29"/>
        <v>852.31305474553244</v>
      </c>
      <c r="J233" s="3">
        <f t="shared" si="30"/>
        <v>620.57132409062876</v>
      </c>
      <c r="K233" s="13">
        <f t="shared" si="31"/>
        <v>231.74173065490368</v>
      </c>
    </row>
    <row r="234" spans="1:11" x14ac:dyDescent="0.3">
      <c r="A234">
        <v>226</v>
      </c>
      <c r="B234" s="3">
        <f t="shared" si="32"/>
        <v>55428.571428570751</v>
      </c>
      <c r="C234" s="3">
        <f t="shared" si="27"/>
        <v>285.71428571428572</v>
      </c>
      <c r="D234" s="3">
        <f t="shared" si="33"/>
        <v>371.4285714285669</v>
      </c>
      <c r="E234" s="3">
        <f t="shared" si="34"/>
        <v>657.14285714285256</v>
      </c>
      <c r="F234" s="3"/>
      <c r="G234">
        <v>226</v>
      </c>
      <c r="H234" s="3">
        <f t="shared" si="28"/>
        <v>92620.670207413481</v>
      </c>
      <c r="I234" s="13">
        <f t="shared" si="29"/>
        <v>852.31305474553244</v>
      </c>
      <c r="J234" s="3">
        <f t="shared" si="30"/>
        <v>619.02637921959615</v>
      </c>
      <c r="K234" s="13">
        <f t="shared" si="31"/>
        <v>233.28667552593629</v>
      </c>
    </row>
    <row r="235" spans="1:11" x14ac:dyDescent="0.3">
      <c r="A235">
        <v>227</v>
      </c>
      <c r="B235" s="3">
        <f t="shared" si="32"/>
        <v>55142.857142856468</v>
      </c>
      <c r="C235" s="3">
        <f t="shared" si="27"/>
        <v>285.71428571428572</v>
      </c>
      <c r="D235" s="3">
        <f t="shared" si="33"/>
        <v>369.52380952380503</v>
      </c>
      <c r="E235" s="3">
        <f t="shared" si="34"/>
        <v>655.23809523809075</v>
      </c>
      <c r="F235" s="3"/>
      <c r="G235">
        <v>227</v>
      </c>
      <c r="H235" s="3">
        <f t="shared" si="28"/>
        <v>92385.828287384036</v>
      </c>
      <c r="I235" s="13">
        <f t="shared" si="29"/>
        <v>852.31305474553244</v>
      </c>
      <c r="J235" s="3">
        <f t="shared" si="30"/>
        <v>617.47113471608986</v>
      </c>
      <c r="K235" s="13">
        <f t="shared" si="31"/>
        <v>234.84192002944258</v>
      </c>
    </row>
    <row r="236" spans="1:11" x14ac:dyDescent="0.3">
      <c r="A236">
        <v>228</v>
      </c>
      <c r="B236" s="3">
        <f t="shared" si="32"/>
        <v>54857.142857142186</v>
      </c>
      <c r="C236" s="3">
        <f t="shared" si="27"/>
        <v>285.71428571428572</v>
      </c>
      <c r="D236" s="3">
        <f t="shared" si="33"/>
        <v>367.61904761904316</v>
      </c>
      <c r="E236" s="3">
        <f t="shared" si="34"/>
        <v>653.33333333332894</v>
      </c>
      <c r="F236" s="3"/>
      <c r="G236">
        <v>228</v>
      </c>
      <c r="H236" s="3">
        <f t="shared" si="28"/>
        <v>92149.42075455439</v>
      </c>
      <c r="I236" s="13">
        <f t="shared" si="29"/>
        <v>852.31305474553244</v>
      </c>
      <c r="J236" s="3">
        <f t="shared" si="30"/>
        <v>615.90552191589359</v>
      </c>
      <c r="K236" s="13">
        <f t="shared" si="31"/>
        <v>236.40753282963885</v>
      </c>
    </row>
    <row r="237" spans="1:11" x14ac:dyDescent="0.3">
      <c r="A237">
        <v>229</v>
      </c>
      <c r="B237" s="3">
        <f t="shared" si="32"/>
        <v>54571.428571427903</v>
      </c>
      <c r="C237" s="3">
        <f t="shared" si="27"/>
        <v>285.71428571428572</v>
      </c>
      <c r="D237" s="3">
        <f t="shared" si="33"/>
        <v>365.71428571428129</v>
      </c>
      <c r="E237" s="3">
        <f t="shared" si="34"/>
        <v>651.42857142856701</v>
      </c>
      <c r="F237" s="3"/>
      <c r="G237">
        <v>229</v>
      </c>
      <c r="H237" s="3">
        <f t="shared" si="28"/>
        <v>91911.437171505881</v>
      </c>
      <c r="I237" s="13">
        <f t="shared" si="29"/>
        <v>852.31305474553244</v>
      </c>
      <c r="J237" s="3">
        <f t="shared" si="30"/>
        <v>614.32947169702936</v>
      </c>
      <c r="K237" s="13">
        <f t="shared" si="31"/>
        <v>237.98358304850308</v>
      </c>
    </row>
    <row r="238" spans="1:11" x14ac:dyDescent="0.3">
      <c r="A238">
        <v>230</v>
      </c>
      <c r="B238" s="3">
        <f t="shared" si="32"/>
        <v>54285.71428571362</v>
      </c>
      <c r="C238" s="3">
        <f t="shared" si="27"/>
        <v>285.71428571428572</v>
      </c>
      <c r="D238" s="3">
        <f t="shared" si="33"/>
        <v>363.80952380951936</v>
      </c>
      <c r="E238" s="3">
        <f t="shared" si="34"/>
        <v>649.52380952380508</v>
      </c>
      <c r="F238" s="3"/>
      <c r="G238">
        <v>230</v>
      </c>
      <c r="H238" s="3">
        <f t="shared" si="28"/>
        <v>91671.867031237052</v>
      </c>
      <c r="I238" s="13">
        <f t="shared" si="29"/>
        <v>852.31305474553244</v>
      </c>
      <c r="J238" s="3">
        <f t="shared" si="30"/>
        <v>612.74291447670589</v>
      </c>
      <c r="K238" s="13">
        <f t="shared" si="31"/>
        <v>239.57014026882655</v>
      </c>
    </row>
    <row r="239" spans="1:11" x14ac:dyDescent="0.3">
      <c r="A239">
        <v>231</v>
      </c>
      <c r="B239" s="3">
        <f t="shared" si="32"/>
        <v>53999.999999999338</v>
      </c>
      <c r="C239" s="3">
        <f t="shared" si="27"/>
        <v>285.71428571428572</v>
      </c>
      <c r="D239" s="3">
        <f t="shared" si="33"/>
        <v>361.90476190475749</v>
      </c>
      <c r="E239" s="3">
        <f t="shared" si="34"/>
        <v>647.61904761904316</v>
      </c>
      <c r="F239" s="3"/>
      <c r="G239">
        <v>231</v>
      </c>
      <c r="H239" s="3">
        <f t="shared" si="28"/>
        <v>91430.69975669976</v>
      </c>
      <c r="I239" s="13">
        <f t="shared" si="29"/>
        <v>852.31305474553244</v>
      </c>
      <c r="J239" s="3">
        <f t="shared" si="30"/>
        <v>611.14578020824706</v>
      </c>
      <c r="K239" s="13">
        <f t="shared" si="31"/>
        <v>241.16727453728538</v>
      </c>
    </row>
    <row r="240" spans="1:11" x14ac:dyDescent="0.3">
      <c r="A240">
        <v>232</v>
      </c>
      <c r="B240" s="3">
        <f t="shared" si="32"/>
        <v>53714.285714285055</v>
      </c>
      <c r="C240" s="3">
        <f t="shared" si="27"/>
        <v>285.71428571428572</v>
      </c>
      <c r="D240" s="3">
        <f t="shared" si="33"/>
        <v>359.99999999999562</v>
      </c>
      <c r="E240" s="3">
        <f t="shared" si="34"/>
        <v>645.71428571428135</v>
      </c>
      <c r="F240" s="3"/>
      <c r="G240">
        <v>232</v>
      </c>
      <c r="H240" s="3">
        <f t="shared" si="28"/>
        <v>91187.924700332223</v>
      </c>
      <c r="I240" s="13">
        <f t="shared" si="29"/>
        <v>852.31305474553244</v>
      </c>
      <c r="J240" s="3">
        <f t="shared" si="30"/>
        <v>609.53799837799841</v>
      </c>
      <c r="K240" s="13">
        <f t="shared" si="31"/>
        <v>242.77505636753403</v>
      </c>
    </row>
    <row r="241" spans="1:11" x14ac:dyDescent="0.3">
      <c r="A241">
        <v>233</v>
      </c>
      <c r="B241" s="3">
        <f t="shared" si="32"/>
        <v>53428.571428570773</v>
      </c>
      <c r="C241" s="3">
        <f t="shared" si="27"/>
        <v>285.71428571428572</v>
      </c>
      <c r="D241" s="3">
        <f t="shared" si="33"/>
        <v>358.0952380952337</v>
      </c>
      <c r="E241" s="3">
        <f t="shared" si="34"/>
        <v>643.80952380951942</v>
      </c>
      <c r="F241" s="3"/>
      <c r="G241">
        <v>233</v>
      </c>
      <c r="H241" s="3">
        <f t="shared" si="28"/>
        <v>90943.531143588902</v>
      </c>
      <c r="I241" s="13">
        <f t="shared" si="29"/>
        <v>852.31305474553244</v>
      </c>
      <c r="J241" s="3">
        <f t="shared" si="30"/>
        <v>607.91949800221482</v>
      </c>
      <c r="K241" s="13">
        <f t="shared" si="31"/>
        <v>244.39355674331762</v>
      </c>
    </row>
    <row r="242" spans="1:11" x14ac:dyDescent="0.3">
      <c r="A242">
        <v>234</v>
      </c>
      <c r="B242" s="3">
        <f t="shared" si="32"/>
        <v>53142.85714285649</v>
      </c>
      <c r="C242" s="3">
        <f t="shared" si="27"/>
        <v>285.71428571428572</v>
      </c>
      <c r="D242" s="3">
        <f t="shared" si="33"/>
        <v>356.19047619047183</v>
      </c>
      <c r="E242" s="3">
        <f t="shared" si="34"/>
        <v>641.90476190475761</v>
      </c>
      <c r="F242" s="3"/>
      <c r="G242">
        <v>234</v>
      </c>
      <c r="H242" s="3">
        <f t="shared" si="28"/>
        <v>90697.508296467291</v>
      </c>
      <c r="I242" s="13">
        <f t="shared" si="29"/>
        <v>852.31305474553244</v>
      </c>
      <c r="J242" s="3">
        <f t="shared" si="30"/>
        <v>606.29020762392599</v>
      </c>
      <c r="K242" s="13">
        <f t="shared" si="31"/>
        <v>246.02284712160645</v>
      </c>
    </row>
    <row r="243" spans="1:11" x14ac:dyDescent="0.3">
      <c r="A243">
        <v>235</v>
      </c>
      <c r="B243" s="3">
        <f t="shared" si="32"/>
        <v>52857.142857142208</v>
      </c>
      <c r="C243" s="3">
        <f t="shared" si="27"/>
        <v>285.71428571428572</v>
      </c>
      <c r="D243" s="3">
        <f t="shared" si="33"/>
        <v>354.28571428570996</v>
      </c>
      <c r="E243" s="3">
        <f t="shared" si="34"/>
        <v>639.99999999999568</v>
      </c>
      <c r="F243" s="3"/>
      <c r="G243">
        <v>235</v>
      </c>
      <c r="H243" s="3">
        <f t="shared" si="28"/>
        <v>90449.845297031541</v>
      </c>
      <c r="I243" s="13">
        <f t="shared" si="29"/>
        <v>852.31305474553244</v>
      </c>
      <c r="J243" s="3">
        <f t="shared" si="30"/>
        <v>604.65005530978203</v>
      </c>
      <c r="K243" s="13">
        <f t="shared" si="31"/>
        <v>247.66299943575041</v>
      </c>
    </row>
    <row r="244" spans="1:11" x14ac:dyDescent="0.3">
      <c r="A244">
        <v>236</v>
      </c>
      <c r="B244" s="3">
        <f t="shared" si="32"/>
        <v>52571.428571427925</v>
      </c>
      <c r="C244" s="3">
        <f t="shared" si="27"/>
        <v>285.71428571428572</v>
      </c>
      <c r="D244" s="3">
        <f t="shared" si="33"/>
        <v>352.38095238094809</v>
      </c>
      <c r="E244" s="3">
        <f t="shared" si="34"/>
        <v>638.09523809523375</v>
      </c>
      <c r="F244" s="3"/>
      <c r="G244">
        <v>236</v>
      </c>
      <c r="H244" s="3">
        <f t="shared" si="28"/>
        <v>90200.531210932881</v>
      </c>
      <c r="I244" s="13">
        <f t="shared" si="29"/>
        <v>852.31305474553244</v>
      </c>
      <c r="J244" s="3">
        <f t="shared" si="30"/>
        <v>602.99896864687696</v>
      </c>
      <c r="K244" s="13">
        <f t="shared" si="31"/>
        <v>249.31408609865548</v>
      </c>
    </row>
    <row r="245" spans="1:11" x14ac:dyDescent="0.3">
      <c r="A245">
        <v>237</v>
      </c>
      <c r="B245" s="3">
        <f t="shared" si="32"/>
        <v>52285.714285713642</v>
      </c>
      <c r="C245" s="3">
        <f t="shared" si="27"/>
        <v>285.71428571428572</v>
      </c>
      <c r="D245" s="3">
        <f t="shared" si="33"/>
        <v>350.47619047618616</v>
      </c>
      <c r="E245" s="3">
        <f t="shared" si="34"/>
        <v>636.19047619047183</v>
      </c>
      <c r="F245" s="3"/>
      <c r="G245">
        <v>237</v>
      </c>
      <c r="H245" s="3">
        <f t="shared" si="28"/>
        <v>89949.555030926902</v>
      </c>
      <c r="I245" s="13">
        <f t="shared" si="29"/>
        <v>852.31305474553244</v>
      </c>
      <c r="J245" s="3">
        <f t="shared" si="30"/>
        <v>601.33687473955263</v>
      </c>
      <c r="K245" s="13">
        <f t="shared" si="31"/>
        <v>250.97618000597981</v>
      </c>
    </row>
    <row r="246" spans="1:11" x14ac:dyDescent="0.3">
      <c r="A246">
        <v>238</v>
      </c>
      <c r="B246" s="3">
        <f t="shared" si="32"/>
        <v>51999.99999999936</v>
      </c>
      <c r="C246" s="3">
        <f t="shared" si="27"/>
        <v>285.71428571428572</v>
      </c>
      <c r="D246" s="3">
        <f t="shared" si="33"/>
        <v>348.57142857142429</v>
      </c>
      <c r="E246" s="3">
        <f t="shared" si="34"/>
        <v>634.28571428571001</v>
      </c>
      <c r="F246" s="3"/>
      <c r="G246">
        <v>238</v>
      </c>
      <c r="H246" s="3">
        <f t="shared" si="28"/>
        <v>89696.905676387556</v>
      </c>
      <c r="I246" s="13">
        <f t="shared" si="29"/>
        <v>852.31305474553244</v>
      </c>
      <c r="J246" s="3">
        <f t="shared" si="30"/>
        <v>599.66370020617933</v>
      </c>
      <c r="K246" s="13">
        <f t="shared" si="31"/>
        <v>252.64935453935311</v>
      </c>
    </row>
    <row r="247" spans="1:11" x14ac:dyDescent="0.3">
      <c r="A247">
        <v>239</v>
      </c>
      <c r="B247" s="3">
        <f t="shared" si="32"/>
        <v>51714.285714285077</v>
      </c>
      <c r="C247" s="3">
        <f t="shared" si="27"/>
        <v>285.71428571428572</v>
      </c>
      <c r="D247" s="3">
        <f t="shared" si="33"/>
        <v>346.66666666666242</v>
      </c>
      <c r="E247" s="3">
        <f t="shared" si="34"/>
        <v>632.3809523809482</v>
      </c>
      <c r="F247" s="3"/>
      <c r="G247">
        <v>239</v>
      </c>
      <c r="H247" s="3">
        <f t="shared" si="28"/>
        <v>89442.571992817946</v>
      </c>
      <c r="I247" s="13">
        <f t="shared" si="29"/>
        <v>852.31305474553244</v>
      </c>
      <c r="J247" s="3">
        <f t="shared" si="30"/>
        <v>597.97937117591709</v>
      </c>
      <c r="K247" s="13">
        <f t="shared" si="31"/>
        <v>254.33368356961535</v>
      </c>
    </row>
    <row r="248" spans="1:11" x14ac:dyDescent="0.3">
      <c r="A248">
        <v>240</v>
      </c>
      <c r="B248" s="3">
        <f t="shared" si="32"/>
        <v>51428.571428570795</v>
      </c>
      <c r="C248" s="3">
        <f t="shared" si="27"/>
        <v>285.71428571428572</v>
      </c>
      <c r="D248" s="3">
        <f t="shared" si="33"/>
        <v>344.76190476190055</v>
      </c>
      <c r="E248" s="3">
        <f t="shared" si="34"/>
        <v>630.47619047618628</v>
      </c>
      <c r="F248" s="3"/>
      <c r="G248">
        <v>240</v>
      </c>
      <c r="H248" s="3">
        <f t="shared" si="28"/>
        <v>89186.542751357862</v>
      </c>
      <c r="I248" s="13">
        <f t="shared" si="29"/>
        <v>852.31305474553244</v>
      </c>
      <c r="J248" s="3">
        <f t="shared" si="30"/>
        <v>596.28381328545299</v>
      </c>
      <c r="K248" s="13">
        <f t="shared" si="31"/>
        <v>256.02924146007945</v>
      </c>
    </row>
    <row r="249" spans="1:11" x14ac:dyDescent="0.3">
      <c r="A249">
        <v>241</v>
      </c>
      <c r="B249" s="3">
        <f t="shared" si="32"/>
        <v>51142.857142856512</v>
      </c>
      <c r="C249" s="3">
        <f t="shared" si="27"/>
        <v>285.71428571428572</v>
      </c>
      <c r="D249" s="3">
        <f t="shared" si="33"/>
        <v>342.85714285713863</v>
      </c>
      <c r="E249" s="3">
        <f t="shared" si="34"/>
        <v>628.57142857142435</v>
      </c>
      <c r="F249" s="3"/>
      <c r="G249">
        <v>241</v>
      </c>
      <c r="H249" s="3">
        <f t="shared" si="28"/>
        <v>88928.806648288053</v>
      </c>
      <c r="I249" s="13">
        <f t="shared" si="29"/>
        <v>852.31305474553244</v>
      </c>
      <c r="J249" s="3">
        <f t="shared" si="30"/>
        <v>594.5769516757191</v>
      </c>
      <c r="K249" s="13">
        <f t="shared" si="31"/>
        <v>257.73610306981334</v>
      </c>
    </row>
    <row r="250" spans="1:11" x14ac:dyDescent="0.3">
      <c r="A250">
        <v>242</v>
      </c>
      <c r="B250" s="3">
        <f t="shared" si="32"/>
        <v>50857.142857142229</v>
      </c>
      <c r="C250" s="3">
        <f t="shared" si="27"/>
        <v>285.71428571428572</v>
      </c>
      <c r="D250" s="3">
        <f t="shared" si="33"/>
        <v>340.95238095237676</v>
      </c>
      <c r="E250" s="3">
        <f t="shared" si="34"/>
        <v>626.66666666666242</v>
      </c>
      <c r="F250" s="3"/>
      <c r="G250">
        <v>242</v>
      </c>
      <c r="H250" s="3">
        <f t="shared" si="28"/>
        <v>88669.352304531101</v>
      </c>
      <c r="I250" s="13">
        <f t="shared" si="29"/>
        <v>852.31305474553244</v>
      </c>
      <c r="J250" s="3">
        <f t="shared" si="30"/>
        <v>592.85871098858706</v>
      </c>
      <c r="K250" s="13">
        <f t="shared" si="31"/>
        <v>259.45434375694538</v>
      </c>
    </row>
    <row r="251" spans="1:11" x14ac:dyDescent="0.3">
      <c r="A251">
        <v>243</v>
      </c>
      <c r="B251" s="3">
        <f t="shared" si="32"/>
        <v>50571.428571427947</v>
      </c>
      <c r="C251" s="3">
        <f t="shared" si="27"/>
        <v>285.71428571428572</v>
      </c>
      <c r="D251" s="3">
        <f t="shared" si="33"/>
        <v>339.04761904761489</v>
      </c>
      <c r="E251" s="3">
        <f t="shared" si="34"/>
        <v>624.76190476190061</v>
      </c>
      <c r="F251" s="3"/>
      <c r="G251">
        <v>243</v>
      </c>
      <c r="H251" s="3">
        <f t="shared" si="28"/>
        <v>88408.168265149114</v>
      </c>
      <c r="I251" s="13">
        <f t="shared" si="29"/>
        <v>852.31305474553244</v>
      </c>
      <c r="J251" s="3">
        <f t="shared" si="30"/>
        <v>591.1290153635407</v>
      </c>
      <c r="K251" s="13">
        <f t="shared" si="31"/>
        <v>261.18403938199174</v>
      </c>
    </row>
    <row r="252" spans="1:11" x14ac:dyDescent="0.3">
      <c r="A252">
        <v>244</v>
      </c>
      <c r="B252" s="3">
        <f t="shared" si="32"/>
        <v>50285.714285713664</v>
      </c>
      <c r="C252" s="3">
        <f t="shared" si="27"/>
        <v>285.71428571428572</v>
      </c>
      <c r="D252" s="3">
        <f t="shared" si="33"/>
        <v>337.14285714285302</v>
      </c>
      <c r="E252" s="3">
        <f t="shared" si="34"/>
        <v>622.8571428571388</v>
      </c>
      <c r="F252" s="3"/>
      <c r="G252">
        <v>244</v>
      </c>
      <c r="H252" s="3">
        <f t="shared" si="28"/>
        <v>88145.242998837915</v>
      </c>
      <c r="I252" s="13">
        <f t="shared" si="29"/>
        <v>852.31305474553244</v>
      </c>
      <c r="J252" s="3">
        <f t="shared" si="30"/>
        <v>589.38778843432749</v>
      </c>
      <c r="K252" s="13">
        <f t="shared" si="31"/>
        <v>262.92526631120495</v>
      </c>
    </row>
    <row r="253" spans="1:11" x14ac:dyDescent="0.3">
      <c r="A253">
        <v>245</v>
      </c>
      <c r="B253" s="3">
        <f t="shared" si="32"/>
        <v>49999.999999999382</v>
      </c>
      <c r="C253" s="3">
        <f t="shared" si="27"/>
        <v>285.71428571428572</v>
      </c>
      <c r="D253" s="3">
        <f t="shared" si="33"/>
        <v>335.23809523809109</v>
      </c>
      <c r="E253" s="3">
        <f t="shared" si="34"/>
        <v>620.95238095237687</v>
      </c>
      <c r="F253" s="3"/>
      <c r="G253">
        <v>245</v>
      </c>
      <c r="H253" s="3">
        <f t="shared" si="28"/>
        <v>87880.564897417964</v>
      </c>
      <c r="I253" s="13">
        <f t="shared" si="29"/>
        <v>852.31305474553244</v>
      </c>
      <c r="J253" s="3">
        <f t="shared" si="30"/>
        <v>587.63495332558614</v>
      </c>
      <c r="K253" s="13">
        <f t="shared" si="31"/>
        <v>264.6781014199463</v>
      </c>
    </row>
    <row r="254" spans="1:11" x14ac:dyDescent="0.3">
      <c r="A254">
        <v>246</v>
      </c>
      <c r="B254" s="3">
        <f t="shared" si="32"/>
        <v>49714.285714285099</v>
      </c>
      <c r="C254" s="3">
        <f t="shared" si="27"/>
        <v>285.71428571428572</v>
      </c>
      <c r="D254" s="3">
        <f t="shared" si="33"/>
        <v>333.33333333332922</v>
      </c>
      <c r="E254" s="3">
        <f t="shared" si="34"/>
        <v>619.04761904761494</v>
      </c>
      <c r="F254" s="3"/>
      <c r="G254">
        <v>246</v>
      </c>
      <c r="H254" s="3">
        <f t="shared" si="28"/>
        <v>87614.12227532189</v>
      </c>
      <c r="I254" s="13">
        <f t="shared" si="29"/>
        <v>852.31305474553244</v>
      </c>
      <c r="J254" s="3">
        <f t="shared" si="30"/>
        <v>585.87043264945316</v>
      </c>
      <c r="K254" s="13">
        <f t="shared" si="31"/>
        <v>266.44262209607928</v>
      </c>
    </row>
    <row r="255" spans="1:11" x14ac:dyDescent="0.3">
      <c r="A255">
        <v>247</v>
      </c>
      <c r="B255" s="3">
        <f t="shared" si="32"/>
        <v>49428.571428570816</v>
      </c>
      <c r="C255" s="3">
        <f t="shared" si="27"/>
        <v>285.71428571428572</v>
      </c>
      <c r="D255" s="3">
        <f t="shared" si="33"/>
        <v>331.42857142856735</v>
      </c>
      <c r="E255" s="3">
        <f t="shared" si="34"/>
        <v>617.14285714285302</v>
      </c>
      <c r="F255" s="3"/>
      <c r="G255">
        <v>247</v>
      </c>
      <c r="H255" s="3">
        <f t="shared" si="28"/>
        <v>87345.9033690785</v>
      </c>
      <c r="I255" s="13">
        <f t="shared" si="29"/>
        <v>852.31305474553244</v>
      </c>
      <c r="J255" s="3">
        <f t="shared" si="30"/>
        <v>584.09414850214603</v>
      </c>
      <c r="K255" s="13">
        <f t="shared" si="31"/>
        <v>268.21890624338641</v>
      </c>
    </row>
    <row r="256" spans="1:11" x14ac:dyDescent="0.3">
      <c r="A256">
        <v>248</v>
      </c>
      <c r="B256" s="3">
        <f t="shared" si="32"/>
        <v>49142.857142856534</v>
      </c>
      <c r="C256" s="3">
        <f t="shared" si="27"/>
        <v>285.71428571428572</v>
      </c>
      <c r="D256" s="3">
        <f t="shared" si="33"/>
        <v>329.52380952380548</v>
      </c>
      <c r="E256" s="3">
        <f t="shared" si="34"/>
        <v>615.2380952380912</v>
      </c>
      <c r="F256" s="3"/>
      <c r="G256">
        <v>248</v>
      </c>
      <c r="H256" s="3">
        <f t="shared" si="28"/>
        <v>87075.896336793492</v>
      </c>
      <c r="I256" s="13">
        <f t="shared" si="29"/>
        <v>852.31305474553244</v>
      </c>
      <c r="J256" s="3">
        <f t="shared" si="30"/>
        <v>582.30602246052342</v>
      </c>
      <c r="K256" s="13">
        <f t="shared" si="31"/>
        <v>270.00703228500902</v>
      </c>
    </row>
    <row r="257" spans="1:11" x14ac:dyDescent="0.3">
      <c r="A257">
        <v>249</v>
      </c>
      <c r="B257" s="3">
        <f t="shared" si="32"/>
        <v>48857.142857142251</v>
      </c>
      <c r="C257" s="3">
        <f t="shared" si="27"/>
        <v>285.71428571428572</v>
      </c>
      <c r="D257" s="3">
        <f t="shared" si="33"/>
        <v>327.61904761904356</v>
      </c>
      <c r="E257" s="3">
        <f t="shared" si="34"/>
        <v>613.33333333332928</v>
      </c>
      <c r="F257" s="3"/>
      <c r="G257">
        <v>249</v>
      </c>
      <c r="H257" s="3">
        <f t="shared" si="28"/>
        <v>86804.089257626576</v>
      </c>
      <c r="I257" s="13">
        <f t="shared" si="29"/>
        <v>852.31305474553244</v>
      </c>
      <c r="J257" s="3">
        <f t="shared" si="30"/>
        <v>580.50597557862329</v>
      </c>
      <c r="K257" s="13">
        <f t="shared" si="31"/>
        <v>271.80707916690915</v>
      </c>
    </row>
    <row r="258" spans="1:11" x14ac:dyDescent="0.3">
      <c r="A258">
        <v>250</v>
      </c>
      <c r="B258" s="3">
        <f t="shared" si="32"/>
        <v>48571.428571427969</v>
      </c>
      <c r="C258" s="3">
        <f t="shared" si="27"/>
        <v>285.71428571428572</v>
      </c>
      <c r="D258" s="3">
        <f t="shared" si="33"/>
        <v>325.71428571428169</v>
      </c>
      <c r="E258" s="3">
        <f t="shared" si="34"/>
        <v>611.42857142856747</v>
      </c>
      <c r="F258" s="3"/>
      <c r="G258">
        <v>250</v>
      </c>
      <c r="H258" s="3">
        <f t="shared" si="28"/>
        <v>86530.470131265218</v>
      </c>
      <c r="I258" s="13">
        <f t="shared" si="29"/>
        <v>852.31305474553244</v>
      </c>
      <c r="J258" s="3">
        <f t="shared" si="30"/>
        <v>578.69392838417718</v>
      </c>
      <c r="K258" s="13">
        <f t="shared" si="31"/>
        <v>273.61912636135526</v>
      </c>
    </row>
    <row r="259" spans="1:11" x14ac:dyDescent="0.3">
      <c r="A259">
        <v>251</v>
      </c>
      <c r="B259" s="3">
        <f t="shared" si="32"/>
        <v>48285.714285713686</v>
      </c>
      <c r="C259" s="3">
        <f t="shared" si="27"/>
        <v>285.71428571428572</v>
      </c>
      <c r="D259" s="3">
        <f t="shared" si="33"/>
        <v>323.80952380951982</v>
      </c>
      <c r="E259" s="3">
        <f t="shared" si="34"/>
        <v>609.52380952380554</v>
      </c>
      <c r="F259" s="3"/>
      <c r="G259">
        <v>251</v>
      </c>
      <c r="H259" s="3">
        <f t="shared" si="28"/>
        <v>86255.02687739479</v>
      </c>
      <c r="I259" s="13">
        <f t="shared" si="29"/>
        <v>852.31305474553244</v>
      </c>
      <c r="J259" s="3">
        <f t="shared" si="30"/>
        <v>576.86980087510153</v>
      </c>
      <c r="K259" s="13">
        <f t="shared" si="31"/>
        <v>275.44325387043091</v>
      </c>
    </row>
    <row r="260" spans="1:11" x14ac:dyDescent="0.3">
      <c r="A260">
        <v>252</v>
      </c>
      <c r="B260" s="3">
        <f t="shared" si="32"/>
        <v>47999.999999999403</v>
      </c>
      <c r="C260" s="3">
        <f t="shared" si="27"/>
        <v>285.71428571428572</v>
      </c>
      <c r="D260" s="3">
        <f t="shared" si="33"/>
        <v>321.90476190475795</v>
      </c>
      <c r="E260" s="3">
        <f t="shared" si="34"/>
        <v>607.61904761904361</v>
      </c>
      <c r="F260" s="3"/>
      <c r="G260">
        <v>252</v>
      </c>
      <c r="H260" s="3">
        <f t="shared" si="28"/>
        <v>85977.74733516523</v>
      </c>
      <c r="I260" s="13">
        <f t="shared" si="29"/>
        <v>852.31305474553244</v>
      </c>
      <c r="J260" s="3">
        <f t="shared" si="30"/>
        <v>575.0335125159653</v>
      </c>
      <c r="K260" s="13">
        <f t="shared" si="31"/>
        <v>277.27954222956714</v>
      </c>
    </row>
    <row r="261" spans="1:11" x14ac:dyDescent="0.3">
      <c r="A261">
        <v>253</v>
      </c>
      <c r="B261" s="3">
        <f t="shared" si="32"/>
        <v>47714.285714285121</v>
      </c>
      <c r="C261" s="3">
        <f t="shared" si="27"/>
        <v>285.71428571428572</v>
      </c>
      <c r="D261" s="3">
        <f t="shared" si="33"/>
        <v>319.99999999999602</v>
      </c>
      <c r="E261" s="3">
        <f t="shared" si="34"/>
        <v>605.71428571428169</v>
      </c>
      <c r="F261" s="3"/>
      <c r="G261">
        <v>253</v>
      </c>
      <c r="H261" s="3">
        <f t="shared" si="28"/>
        <v>85698.619262654131</v>
      </c>
      <c r="I261" s="13">
        <f t="shared" si="29"/>
        <v>852.31305474553244</v>
      </c>
      <c r="J261" s="3">
        <f t="shared" si="30"/>
        <v>573.18498223443487</v>
      </c>
      <c r="K261" s="13">
        <f t="shared" si="31"/>
        <v>279.12807251109757</v>
      </c>
    </row>
    <row r="262" spans="1:11" x14ac:dyDescent="0.3">
      <c r="A262">
        <v>254</v>
      </c>
      <c r="B262" s="3">
        <f t="shared" si="32"/>
        <v>47428.571428570838</v>
      </c>
      <c r="C262" s="3">
        <f t="shared" si="27"/>
        <v>285.71428571428572</v>
      </c>
      <c r="D262" s="3">
        <f t="shared" si="33"/>
        <v>318.09523809523415</v>
      </c>
      <c r="E262" s="3">
        <f t="shared" si="34"/>
        <v>603.80952380951987</v>
      </c>
      <c r="F262" s="3"/>
      <c r="G262">
        <v>254</v>
      </c>
      <c r="H262" s="3">
        <f t="shared" si="28"/>
        <v>85417.6303363263</v>
      </c>
      <c r="I262" s="13">
        <f t="shared" si="29"/>
        <v>852.31305474553244</v>
      </c>
      <c r="J262" s="3">
        <f t="shared" si="30"/>
        <v>571.32412841769428</v>
      </c>
      <c r="K262" s="13">
        <f t="shared" si="31"/>
        <v>280.98892632783816</v>
      </c>
    </row>
    <row r="263" spans="1:11" x14ac:dyDescent="0.3">
      <c r="A263">
        <v>255</v>
      </c>
      <c r="B263" s="3">
        <f t="shared" si="32"/>
        <v>47142.857142856556</v>
      </c>
      <c r="C263" s="3">
        <f t="shared" si="27"/>
        <v>285.71428571428572</v>
      </c>
      <c r="D263" s="3">
        <f t="shared" si="33"/>
        <v>316.19047619047228</v>
      </c>
      <c r="E263" s="3">
        <f t="shared" si="34"/>
        <v>601.90476190475806</v>
      </c>
      <c r="F263" s="3"/>
      <c r="G263">
        <v>255</v>
      </c>
      <c r="H263" s="3">
        <f t="shared" si="28"/>
        <v>85134.768150489603</v>
      </c>
      <c r="I263" s="13">
        <f t="shared" si="29"/>
        <v>852.31305474553244</v>
      </c>
      <c r="J263" s="3">
        <f t="shared" si="30"/>
        <v>569.45086890884204</v>
      </c>
      <c r="K263" s="13">
        <f t="shared" si="31"/>
        <v>282.8621858366904</v>
      </c>
    </row>
    <row r="264" spans="1:11" x14ac:dyDescent="0.3">
      <c r="A264">
        <v>256</v>
      </c>
      <c r="B264" s="3">
        <f t="shared" si="32"/>
        <v>46857.142857142273</v>
      </c>
      <c r="C264" s="3">
        <f t="shared" si="27"/>
        <v>285.71428571428572</v>
      </c>
      <c r="D264" s="3">
        <f t="shared" si="33"/>
        <v>314.28571428571041</v>
      </c>
      <c r="E264" s="3">
        <f t="shared" si="34"/>
        <v>599.99999999999613</v>
      </c>
      <c r="F264" s="3"/>
      <c r="G264">
        <v>256</v>
      </c>
      <c r="H264" s="3">
        <f t="shared" si="28"/>
        <v>84850.020216747333</v>
      </c>
      <c r="I264" s="13">
        <f t="shared" si="29"/>
        <v>852.31305474553244</v>
      </c>
      <c r="J264" s="3">
        <f t="shared" si="30"/>
        <v>567.56512100326404</v>
      </c>
      <c r="K264" s="13">
        <f t="shared" si="31"/>
        <v>284.7479337422684</v>
      </c>
    </row>
    <row r="265" spans="1:11" x14ac:dyDescent="0.3">
      <c r="A265">
        <v>257</v>
      </c>
      <c r="B265" s="3">
        <f t="shared" si="32"/>
        <v>46571.42857142799</v>
      </c>
      <c r="C265" s="3">
        <f t="shared" si="27"/>
        <v>285.71428571428572</v>
      </c>
      <c r="D265" s="3">
        <f t="shared" si="33"/>
        <v>312.38095238094849</v>
      </c>
      <c r="E265" s="3">
        <f t="shared" si="34"/>
        <v>598.09523809523421</v>
      </c>
      <c r="F265" s="3"/>
      <c r="G265">
        <v>257</v>
      </c>
      <c r="H265" s="3">
        <f t="shared" si="28"/>
        <v>84563.373963446778</v>
      </c>
      <c r="I265" s="13">
        <f t="shared" si="29"/>
        <v>852.31305474553244</v>
      </c>
      <c r="J265" s="3">
        <f t="shared" si="30"/>
        <v>565.6668014449823</v>
      </c>
      <c r="K265" s="13">
        <f t="shared" si="31"/>
        <v>286.64625330055014</v>
      </c>
    </row>
    <row r="266" spans="1:11" x14ac:dyDescent="0.3">
      <c r="A266">
        <v>258</v>
      </c>
      <c r="B266" s="3">
        <f t="shared" si="32"/>
        <v>46285.714285713708</v>
      </c>
      <c r="C266" s="3">
        <f t="shared" ref="C266:C329" si="35">$B$2/$B$4</f>
        <v>285.71428571428572</v>
      </c>
      <c r="D266" s="3">
        <f t="shared" si="33"/>
        <v>310.47619047618662</v>
      </c>
      <c r="E266" s="3">
        <f t="shared" si="34"/>
        <v>596.19047619047228</v>
      </c>
      <c r="F266" s="3"/>
      <c r="G266">
        <v>258</v>
      </c>
      <c r="H266" s="3">
        <f t="shared" ref="H266:H329" si="36">H265-K266</f>
        <v>84274.81673512423</v>
      </c>
      <c r="I266" s="13">
        <f t="shared" ref="I266:I329" si="37">PMT($B$3, $B$4, -$B$2)</f>
        <v>852.31305474553244</v>
      </c>
      <c r="J266" s="3">
        <f t="shared" ref="J266:J329" si="38">H265*$B$3</f>
        <v>563.75582642297854</v>
      </c>
      <c r="K266" s="13">
        <f t="shared" ref="K266:K329" si="39">I266-J266</f>
        <v>288.5572283225539</v>
      </c>
    </row>
    <row r="267" spans="1:11" x14ac:dyDescent="0.3">
      <c r="A267">
        <v>259</v>
      </c>
      <c r="B267" s="3">
        <f t="shared" si="32"/>
        <v>45999.999999999425</v>
      </c>
      <c r="C267" s="3">
        <f t="shared" si="35"/>
        <v>285.71428571428572</v>
      </c>
      <c r="D267" s="3">
        <f t="shared" si="33"/>
        <v>308.57142857142475</v>
      </c>
      <c r="E267" s="3">
        <f t="shared" si="34"/>
        <v>594.28571428571047</v>
      </c>
      <c r="F267" s="3"/>
      <c r="G267">
        <v>259</v>
      </c>
      <c r="H267" s="3">
        <f t="shared" si="36"/>
        <v>83984.3357919462</v>
      </c>
      <c r="I267" s="13">
        <f t="shared" si="37"/>
        <v>852.31305474553244</v>
      </c>
      <c r="J267" s="3">
        <f t="shared" si="38"/>
        <v>561.83211156749485</v>
      </c>
      <c r="K267" s="13">
        <f t="shared" si="39"/>
        <v>290.48094317803759</v>
      </c>
    </row>
    <row r="268" spans="1:11" x14ac:dyDescent="0.3">
      <c r="A268">
        <v>260</v>
      </c>
      <c r="B268" s="3">
        <f t="shared" si="32"/>
        <v>45714.285714285143</v>
      </c>
      <c r="C268" s="3">
        <f t="shared" si="35"/>
        <v>285.71428571428572</v>
      </c>
      <c r="D268" s="3">
        <f t="shared" si="33"/>
        <v>306.66666666666288</v>
      </c>
      <c r="E268" s="3">
        <f t="shared" si="34"/>
        <v>592.38095238094866</v>
      </c>
      <c r="F268" s="3"/>
      <c r="G268">
        <v>260</v>
      </c>
      <c r="H268" s="3">
        <f t="shared" si="36"/>
        <v>83691.918309146975</v>
      </c>
      <c r="I268" s="13">
        <f t="shared" si="37"/>
        <v>852.31305474553244</v>
      </c>
      <c r="J268" s="3">
        <f t="shared" si="38"/>
        <v>559.895571946308</v>
      </c>
      <c r="K268" s="13">
        <f t="shared" si="39"/>
        <v>292.41748279922444</v>
      </c>
    </row>
    <row r="269" spans="1:11" x14ac:dyDescent="0.3">
      <c r="A269">
        <v>261</v>
      </c>
      <c r="B269" s="3">
        <f t="shared" si="32"/>
        <v>45428.57142857086</v>
      </c>
      <c r="C269" s="3">
        <f t="shared" si="35"/>
        <v>285.71428571428572</v>
      </c>
      <c r="D269" s="3">
        <f t="shared" si="33"/>
        <v>304.76190476190095</v>
      </c>
      <c r="E269" s="3">
        <f t="shared" si="34"/>
        <v>590.47619047618673</v>
      </c>
      <c r="F269" s="3"/>
      <c r="G269">
        <v>261</v>
      </c>
      <c r="H269" s="3">
        <f t="shared" si="36"/>
        <v>83397.551376462419</v>
      </c>
      <c r="I269" s="13">
        <f t="shared" si="37"/>
        <v>852.31305474553244</v>
      </c>
      <c r="J269" s="3">
        <f t="shared" si="38"/>
        <v>557.94612206097986</v>
      </c>
      <c r="K269" s="13">
        <f t="shared" si="39"/>
        <v>294.36693268455258</v>
      </c>
    </row>
    <row r="270" spans="1:11" x14ac:dyDescent="0.3">
      <c r="A270">
        <v>262</v>
      </c>
      <c r="B270" s="3">
        <f t="shared" si="32"/>
        <v>45142.857142856577</v>
      </c>
      <c r="C270" s="3">
        <f t="shared" si="35"/>
        <v>285.71428571428572</v>
      </c>
      <c r="D270" s="3">
        <f t="shared" si="33"/>
        <v>302.85714285713908</v>
      </c>
      <c r="E270" s="3">
        <f t="shared" si="34"/>
        <v>588.5714285714248</v>
      </c>
      <c r="F270" s="3"/>
      <c r="G270">
        <v>262</v>
      </c>
      <c r="H270" s="3">
        <f t="shared" si="36"/>
        <v>83101.221997559973</v>
      </c>
      <c r="I270" s="13">
        <f t="shared" si="37"/>
        <v>852.31305474553244</v>
      </c>
      <c r="J270" s="3">
        <f t="shared" si="38"/>
        <v>555.98367584308278</v>
      </c>
      <c r="K270" s="13">
        <f t="shared" si="39"/>
        <v>296.32937890244966</v>
      </c>
    </row>
    <row r="271" spans="1:11" x14ac:dyDescent="0.3">
      <c r="A271">
        <v>263</v>
      </c>
      <c r="B271" s="3">
        <f t="shared" si="32"/>
        <v>44857.142857142295</v>
      </c>
      <c r="C271" s="3">
        <f t="shared" si="35"/>
        <v>285.71428571428572</v>
      </c>
      <c r="D271" s="3">
        <f t="shared" si="33"/>
        <v>300.95238095237721</v>
      </c>
      <c r="E271" s="3">
        <f t="shared" si="34"/>
        <v>586.66666666666288</v>
      </c>
      <c r="F271" s="3"/>
      <c r="G271">
        <v>263</v>
      </c>
      <c r="H271" s="3">
        <f t="shared" si="36"/>
        <v>82802.917089464841</v>
      </c>
      <c r="I271" s="13">
        <f t="shared" si="37"/>
        <v>852.31305474553244</v>
      </c>
      <c r="J271" s="3">
        <f t="shared" si="38"/>
        <v>554.00814665039991</v>
      </c>
      <c r="K271" s="13">
        <f t="shared" si="39"/>
        <v>298.30490809513253</v>
      </c>
    </row>
    <row r="272" spans="1:11" x14ac:dyDescent="0.3">
      <c r="A272">
        <v>264</v>
      </c>
      <c r="B272" s="3">
        <f t="shared" si="32"/>
        <v>44571.428571428012</v>
      </c>
      <c r="C272" s="3">
        <f t="shared" si="35"/>
        <v>285.71428571428572</v>
      </c>
      <c r="D272" s="3">
        <f t="shared" si="33"/>
        <v>299.04761904761534</v>
      </c>
      <c r="E272" s="3">
        <f t="shared" si="34"/>
        <v>584.76190476190106</v>
      </c>
      <c r="F272" s="3"/>
      <c r="G272">
        <v>264</v>
      </c>
      <c r="H272" s="3">
        <f t="shared" si="36"/>
        <v>82502.623481982402</v>
      </c>
      <c r="I272" s="13">
        <f t="shared" si="37"/>
        <v>852.31305474553244</v>
      </c>
      <c r="J272" s="3">
        <f t="shared" si="38"/>
        <v>552.01944726309898</v>
      </c>
      <c r="K272" s="13">
        <f t="shared" si="39"/>
        <v>300.29360748243346</v>
      </c>
    </row>
    <row r="273" spans="1:11" x14ac:dyDescent="0.3">
      <c r="A273">
        <v>265</v>
      </c>
      <c r="B273" s="3">
        <f t="shared" ref="B273:B336" si="40">B272-C273</f>
        <v>44285.71428571373</v>
      </c>
      <c r="C273" s="3">
        <f t="shared" si="35"/>
        <v>285.71428571428572</v>
      </c>
      <c r="D273" s="3">
        <f t="shared" ref="D273:D336" si="41">B272*$B$3</f>
        <v>297.14285714285342</v>
      </c>
      <c r="E273" s="3">
        <f t="shared" ref="E273:E336" si="42">D273+C273</f>
        <v>582.85714285713914</v>
      </c>
      <c r="F273" s="3"/>
      <c r="G273">
        <v>265</v>
      </c>
      <c r="H273" s="3">
        <f t="shared" si="36"/>
        <v>82200.327917116752</v>
      </c>
      <c r="I273" s="13">
        <f t="shared" si="37"/>
        <v>852.31305474553244</v>
      </c>
      <c r="J273" s="3">
        <f t="shared" si="38"/>
        <v>550.01748987988276</v>
      </c>
      <c r="K273" s="13">
        <f t="shared" si="39"/>
        <v>302.29556486564968</v>
      </c>
    </row>
    <row r="274" spans="1:11" x14ac:dyDescent="0.3">
      <c r="A274">
        <v>266</v>
      </c>
      <c r="B274" s="3">
        <f t="shared" si="40"/>
        <v>43999.999999999447</v>
      </c>
      <c r="C274" s="3">
        <f t="shared" si="35"/>
        <v>285.71428571428572</v>
      </c>
      <c r="D274" s="3">
        <f t="shared" si="41"/>
        <v>295.23809523809155</v>
      </c>
      <c r="E274" s="3">
        <f t="shared" si="42"/>
        <v>580.95238095237733</v>
      </c>
      <c r="F274" s="3"/>
      <c r="G274">
        <v>266</v>
      </c>
      <c r="H274" s="3">
        <f t="shared" si="36"/>
        <v>81896.01704848533</v>
      </c>
      <c r="I274" s="13">
        <f t="shared" si="37"/>
        <v>852.31305474553244</v>
      </c>
      <c r="J274" s="3">
        <f t="shared" si="38"/>
        <v>548.00218611411174</v>
      </c>
      <c r="K274" s="13">
        <f t="shared" si="39"/>
        <v>304.3108686314207</v>
      </c>
    </row>
    <row r="275" spans="1:11" x14ac:dyDescent="0.3">
      <c r="A275">
        <v>267</v>
      </c>
      <c r="B275" s="3">
        <f t="shared" si="40"/>
        <v>43714.285714285164</v>
      </c>
      <c r="C275" s="3">
        <f t="shared" si="35"/>
        <v>285.71428571428572</v>
      </c>
      <c r="D275" s="3">
        <f t="shared" si="41"/>
        <v>293.33333333332968</v>
      </c>
      <c r="E275" s="3">
        <f t="shared" si="42"/>
        <v>579.0476190476154</v>
      </c>
      <c r="F275" s="3"/>
      <c r="G275">
        <v>267</v>
      </c>
      <c r="H275" s="3">
        <f t="shared" si="36"/>
        <v>81589.677440729705</v>
      </c>
      <c r="I275" s="13">
        <f t="shared" si="37"/>
        <v>852.31305474553244</v>
      </c>
      <c r="J275" s="3">
        <f t="shared" si="38"/>
        <v>545.97344698990219</v>
      </c>
      <c r="K275" s="13">
        <f t="shared" si="39"/>
        <v>306.33960775563025</v>
      </c>
    </row>
    <row r="276" spans="1:11" x14ac:dyDescent="0.3">
      <c r="A276">
        <v>268</v>
      </c>
      <c r="B276" s="3">
        <f t="shared" si="40"/>
        <v>43428.571428570882</v>
      </c>
      <c r="C276" s="3">
        <f t="shared" si="35"/>
        <v>285.71428571428572</v>
      </c>
      <c r="D276" s="3">
        <f t="shared" si="41"/>
        <v>291.42857142856781</v>
      </c>
      <c r="E276" s="3">
        <f t="shared" si="42"/>
        <v>577.14285714285347</v>
      </c>
      <c r="F276" s="3"/>
      <c r="G276">
        <v>268</v>
      </c>
      <c r="H276" s="3">
        <f t="shared" si="36"/>
        <v>81281.295568922375</v>
      </c>
      <c r="I276" s="13">
        <f t="shared" si="37"/>
        <v>852.31305474553244</v>
      </c>
      <c r="J276" s="3">
        <f t="shared" si="38"/>
        <v>543.93118293819805</v>
      </c>
      <c r="K276" s="13">
        <f t="shared" si="39"/>
        <v>308.38187180733439</v>
      </c>
    </row>
    <row r="277" spans="1:11" x14ac:dyDescent="0.3">
      <c r="A277">
        <v>269</v>
      </c>
      <c r="B277" s="3">
        <f t="shared" si="40"/>
        <v>43142.857142856599</v>
      </c>
      <c r="C277" s="3">
        <f t="shared" si="35"/>
        <v>285.71428571428572</v>
      </c>
      <c r="D277" s="3">
        <f t="shared" si="41"/>
        <v>289.52380952380588</v>
      </c>
      <c r="E277" s="3">
        <f t="shared" si="42"/>
        <v>575.23809523809155</v>
      </c>
      <c r="F277" s="3"/>
      <c r="G277">
        <v>269</v>
      </c>
      <c r="H277" s="3">
        <f t="shared" si="36"/>
        <v>80970.857817969663</v>
      </c>
      <c r="I277" s="13">
        <f t="shared" si="37"/>
        <v>852.31305474553244</v>
      </c>
      <c r="J277" s="3">
        <f t="shared" si="38"/>
        <v>541.87530379281588</v>
      </c>
      <c r="K277" s="13">
        <f t="shared" si="39"/>
        <v>310.43775095271656</v>
      </c>
    </row>
    <row r="278" spans="1:11" x14ac:dyDescent="0.3">
      <c r="A278">
        <v>270</v>
      </c>
      <c r="B278" s="3">
        <f t="shared" si="40"/>
        <v>42857.142857142317</v>
      </c>
      <c r="C278" s="3">
        <f t="shared" si="35"/>
        <v>285.71428571428572</v>
      </c>
      <c r="D278" s="3">
        <f t="shared" si="41"/>
        <v>287.61904761904401</v>
      </c>
      <c r="E278" s="3">
        <f t="shared" si="42"/>
        <v>573.33333333332973</v>
      </c>
      <c r="F278" s="3"/>
      <c r="G278">
        <v>270</v>
      </c>
      <c r="H278" s="3">
        <f t="shared" si="36"/>
        <v>80658.350482010588</v>
      </c>
      <c r="I278" s="13">
        <f t="shared" si="37"/>
        <v>852.31305474553244</v>
      </c>
      <c r="J278" s="3">
        <f t="shared" si="38"/>
        <v>539.80571878646447</v>
      </c>
      <c r="K278" s="13">
        <f t="shared" si="39"/>
        <v>312.50733595906797</v>
      </c>
    </row>
    <row r="279" spans="1:11" x14ac:dyDescent="0.3">
      <c r="A279">
        <v>271</v>
      </c>
      <c r="B279" s="3">
        <f t="shared" si="40"/>
        <v>42571.428571428034</v>
      </c>
      <c r="C279" s="3">
        <f t="shared" si="35"/>
        <v>285.71428571428572</v>
      </c>
      <c r="D279" s="3">
        <f t="shared" si="41"/>
        <v>285.71428571428214</v>
      </c>
      <c r="E279" s="3">
        <f t="shared" si="42"/>
        <v>571.42857142856792</v>
      </c>
      <c r="F279" s="3"/>
      <c r="G279">
        <v>271</v>
      </c>
      <c r="H279" s="3">
        <f t="shared" si="36"/>
        <v>80343.759763811788</v>
      </c>
      <c r="I279" s="13">
        <f t="shared" si="37"/>
        <v>852.31305474553244</v>
      </c>
      <c r="J279" s="3">
        <f t="shared" si="38"/>
        <v>537.72233654673732</v>
      </c>
      <c r="K279" s="13">
        <f t="shared" si="39"/>
        <v>314.59071819879512</v>
      </c>
    </row>
    <row r="280" spans="1:11" x14ac:dyDescent="0.3">
      <c r="A280">
        <v>272</v>
      </c>
      <c r="B280" s="3">
        <f t="shared" si="40"/>
        <v>42285.714285713751</v>
      </c>
      <c r="C280" s="3">
        <f t="shared" si="35"/>
        <v>285.71428571428572</v>
      </c>
      <c r="D280" s="3">
        <f t="shared" si="41"/>
        <v>283.80952380952027</v>
      </c>
      <c r="E280" s="3">
        <f t="shared" si="42"/>
        <v>569.52380952380599</v>
      </c>
      <c r="F280" s="3"/>
      <c r="G280">
        <v>272</v>
      </c>
      <c r="H280" s="3">
        <f t="shared" si="36"/>
        <v>80027.071774158336</v>
      </c>
      <c r="I280" s="13">
        <f t="shared" si="37"/>
        <v>852.31305474553244</v>
      </c>
      <c r="J280" s="3">
        <f t="shared" si="38"/>
        <v>535.62506509207867</v>
      </c>
      <c r="K280" s="13">
        <f t="shared" si="39"/>
        <v>316.68798965345377</v>
      </c>
    </row>
    <row r="281" spans="1:11" x14ac:dyDescent="0.3">
      <c r="A281">
        <v>273</v>
      </c>
      <c r="B281" s="3">
        <f t="shared" si="40"/>
        <v>41999.999999999469</v>
      </c>
      <c r="C281" s="3">
        <f t="shared" si="35"/>
        <v>285.71428571428572</v>
      </c>
      <c r="D281" s="3">
        <f t="shared" si="41"/>
        <v>281.90476190475835</v>
      </c>
      <c r="E281" s="3">
        <f t="shared" si="42"/>
        <v>567.61904761904407</v>
      </c>
      <c r="F281" s="3"/>
      <c r="G281">
        <v>273</v>
      </c>
      <c r="H281" s="3">
        <f t="shared" si="36"/>
        <v>79708.272531240524</v>
      </c>
      <c r="I281" s="13">
        <f t="shared" si="37"/>
        <v>852.31305474553244</v>
      </c>
      <c r="J281" s="3">
        <f t="shared" si="38"/>
        <v>533.51381182772229</v>
      </c>
      <c r="K281" s="13">
        <f t="shared" si="39"/>
        <v>318.79924291781015</v>
      </c>
    </row>
    <row r="282" spans="1:11" x14ac:dyDescent="0.3">
      <c r="A282">
        <v>274</v>
      </c>
      <c r="B282" s="3">
        <f t="shared" si="40"/>
        <v>41714.285714285186</v>
      </c>
      <c r="C282" s="3">
        <f t="shared" si="35"/>
        <v>285.71428571428572</v>
      </c>
      <c r="D282" s="3">
        <f t="shared" si="41"/>
        <v>279.99999999999648</v>
      </c>
      <c r="E282" s="3">
        <f t="shared" si="42"/>
        <v>565.71428571428214</v>
      </c>
      <c r="F282" s="3"/>
      <c r="G282">
        <v>274</v>
      </c>
      <c r="H282" s="3">
        <f t="shared" si="36"/>
        <v>79387.347960036597</v>
      </c>
      <c r="I282" s="13">
        <f t="shared" si="37"/>
        <v>852.31305474553244</v>
      </c>
      <c r="J282" s="3">
        <f t="shared" si="38"/>
        <v>531.38848354160348</v>
      </c>
      <c r="K282" s="13">
        <f t="shared" si="39"/>
        <v>320.92457120392896</v>
      </c>
    </row>
    <row r="283" spans="1:11" x14ac:dyDescent="0.3">
      <c r="A283">
        <v>275</v>
      </c>
      <c r="B283" s="3">
        <f t="shared" si="40"/>
        <v>41428.571428570904</v>
      </c>
      <c r="C283" s="3">
        <f t="shared" si="35"/>
        <v>285.71428571428572</v>
      </c>
      <c r="D283" s="3">
        <f t="shared" si="41"/>
        <v>278.09523809523461</v>
      </c>
      <c r="E283" s="3">
        <f t="shared" si="42"/>
        <v>563.80952380952033</v>
      </c>
      <c r="F283" s="3"/>
      <c r="G283">
        <v>275</v>
      </c>
      <c r="H283" s="3">
        <f t="shared" si="36"/>
        <v>79064.283891691302</v>
      </c>
      <c r="I283" s="13">
        <f t="shared" si="37"/>
        <v>852.31305474553244</v>
      </c>
      <c r="J283" s="3">
        <f t="shared" si="38"/>
        <v>529.24898640024401</v>
      </c>
      <c r="K283" s="13">
        <f t="shared" si="39"/>
        <v>323.06406834528843</v>
      </c>
    </row>
    <row r="284" spans="1:11" x14ac:dyDescent="0.3">
      <c r="A284">
        <v>276</v>
      </c>
      <c r="B284" s="3">
        <f t="shared" si="40"/>
        <v>41142.857142856621</v>
      </c>
      <c r="C284" s="3">
        <f t="shared" si="35"/>
        <v>285.71428571428572</v>
      </c>
      <c r="D284" s="3">
        <f t="shared" si="41"/>
        <v>276.19047619047274</v>
      </c>
      <c r="E284" s="3">
        <f t="shared" si="42"/>
        <v>561.90476190475852</v>
      </c>
      <c r="F284" s="3"/>
      <c r="G284">
        <v>276</v>
      </c>
      <c r="H284" s="3">
        <f t="shared" si="36"/>
        <v>78739.066062890372</v>
      </c>
      <c r="I284" s="13">
        <f t="shared" si="37"/>
        <v>852.31305474553244</v>
      </c>
      <c r="J284" s="3">
        <f t="shared" si="38"/>
        <v>527.09522594460873</v>
      </c>
      <c r="K284" s="13">
        <f t="shared" si="39"/>
        <v>325.21782880092371</v>
      </c>
    </row>
    <row r="285" spans="1:11" x14ac:dyDescent="0.3">
      <c r="A285">
        <v>277</v>
      </c>
      <c r="B285" s="3">
        <f t="shared" si="40"/>
        <v>40857.142857142338</v>
      </c>
      <c r="C285" s="3">
        <f t="shared" si="35"/>
        <v>285.71428571428572</v>
      </c>
      <c r="D285" s="3">
        <f t="shared" si="41"/>
        <v>274.28571428571081</v>
      </c>
      <c r="E285" s="3">
        <f t="shared" si="42"/>
        <v>559.99999999999659</v>
      </c>
      <c r="F285" s="3"/>
      <c r="G285">
        <v>277</v>
      </c>
      <c r="H285" s="3">
        <f t="shared" si="36"/>
        <v>78411.680115230774</v>
      </c>
      <c r="I285" s="13">
        <f t="shared" si="37"/>
        <v>852.31305474553244</v>
      </c>
      <c r="J285" s="3">
        <f t="shared" si="38"/>
        <v>524.92710708593586</v>
      </c>
      <c r="K285" s="13">
        <f t="shared" si="39"/>
        <v>327.38594765959658</v>
      </c>
    </row>
    <row r="286" spans="1:11" x14ac:dyDescent="0.3">
      <c r="A286">
        <v>278</v>
      </c>
      <c r="B286" s="3">
        <f t="shared" si="40"/>
        <v>40571.428571428056</v>
      </c>
      <c r="C286" s="3">
        <f t="shared" si="35"/>
        <v>285.71428571428572</v>
      </c>
      <c r="D286" s="3">
        <f t="shared" si="41"/>
        <v>272.38095238094894</v>
      </c>
      <c r="E286" s="3">
        <f t="shared" si="42"/>
        <v>558.09523809523466</v>
      </c>
      <c r="F286" s="3"/>
      <c r="G286">
        <v>278</v>
      </c>
      <c r="H286" s="3">
        <f t="shared" si="36"/>
        <v>78082.111594586779</v>
      </c>
      <c r="I286" s="13">
        <f t="shared" si="37"/>
        <v>852.31305474553244</v>
      </c>
      <c r="J286" s="3">
        <f t="shared" si="38"/>
        <v>522.74453410153853</v>
      </c>
      <c r="K286" s="13">
        <f t="shared" si="39"/>
        <v>329.56852064399391</v>
      </c>
    </row>
    <row r="287" spans="1:11" x14ac:dyDescent="0.3">
      <c r="A287">
        <v>279</v>
      </c>
      <c r="B287" s="3">
        <f t="shared" si="40"/>
        <v>40285.714285713773</v>
      </c>
      <c r="C287" s="3">
        <f t="shared" si="35"/>
        <v>285.71428571428572</v>
      </c>
      <c r="D287" s="3">
        <f t="shared" si="41"/>
        <v>270.47619047618707</v>
      </c>
      <c r="E287" s="3">
        <f t="shared" si="42"/>
        <v>556.19047619047274</v>
      </c>
      <c r="F287" s="3"/>
      <c r="G287">
        <v>279</v>
      </c>
      <c r="H287" s="3">
        <f t="shared" si="36"/>
        <v>77750.345950471819</v>
      </c>
      <c r="I287" s="13">
        <f t="shared" si="37"/>
        <v>852.31305474553244</v>
      </c>
      <c r="J287" s="3">
        <f t="shared" si="38"/>
        <v>520.54741063057861</v>
      </c>
      <c r="K287" s="13">
        <f t="shared" si="39"/>
        <v>331.76564411495383</v>
      </c>
    </row>
    <row r="288" spans="1:11" x14ac:dyDescent="0.3">
      <c r="A288">
        <v>280</v>
      </c>
      <c r="B288" s="3">
        <f t="shared" si="40"/>
        <v>39999.999999999491</v>
      </c>
      <c r="C288" s="3">
        <f t="shared" si="35"/>
        <v>285.71428571428572</v>
      </c>
      <c r="D288" s="3">
        <f t="shared" si="41"/>
        <v>268.57142857142514</v>
      </c>
      <c r="E288" s="3">
        <f t="shared" si="42"/>
        <v>554.28571428571081</v>
      </c>
      <c r="F288" s="3"/>
      <c r="G288">
        <v>280</v>
      </c>
      <c r="H288" s="3">
        <f t="shared" si="36"/>
        <v>77416.368535396105</v>
      </c>
      <c r="I288" s="13">
        <f t="shared" si="37"/>
        <v>852.31305474553244</v>
      </c>
      <c r="J288" s="3">
        <f t="shared" si="38"/>
        <v>518.33563966981217</v>
      </c>
      <c r="K288" s="13">
        <f t="shared" si="39"/>
        <v>333.97741507572027</v>
      </c>
    </row>
    <row r="289" spans="1:11" x14ac:dyDescent="0.3">
      <c r="A289">
        <v>281</v>
      </c>
      <c r="B289" s="3">
        <f t="shared" si="40"/>
        <v>39714.285714285208</v>
      </c>
      <c r="C289" s="3">
        <f t="shared" si="35"/>
        <v>285.71428571428572</v>
      </c>
      <c r="D289" s="3">
        <f t="shared" si="41"/>
        <v>266.66666666666328</v>
      </c>
      <c r="E289" s="3">
        <f t="shared" si="42"/>
        <v>552.380952380949</v>
      </c>
      <c r="F289" s="3"/>
      <c r="G289">
        <v>281</v>
      </c>
      <c r="H289" s="3">
        <f t="shared" si="36"/>
        <v>77080.164604219884</v>
      </c>
      <c r="I289" s="13">
        <f t="shared" si="37"/>
        <v>852.31305474553244</v>
      </c>
      <c r="J289" s="3">
        <f t="shared" si="38"/>
        <v>516.10912356930737</v>
      </c>
      <c r="K289" s="13">
        <f t="shared" si="39"/>
        <v>336.20393117622507</v>
      </c>
    </row>
    <row r="290" spans="1:11" x14ac:dyDescent="0.3">
      <c r="A290">
        <v>282</v>
      </c>
      <c r="B290" s="3">
        <f t="shared" si="40"/>
        <v>39428.571428570925</v>
      </c>
      <c r="C290" s="3">
        <f t="shared" si="35"/>
        <v>285.71428571428572</v>
      </c>
      <c r="D290" s="3">
        <f t="shared" si="41"/>
        <v>264.76190476190141</v>
      </c>
      <c r="E290" s="3">
        <f t="shared" si="42"/>
        <v>550.47619047618718</v>
      </c>
      <c r="F290" s="3"/>
      <c r="G290">
        <v>282</v>
      </c>
      <c r="H290" s="3">
        <f t="shared" si="36"/>
        <v>76741.719313502486</v>
      </c>
      <c r="I290" s="13">
        <f t="shared" si="37"/>
        <v>852.31305474553244</v>
      </c>
      <c r="J290" s="3">
        <f t="shared" si="38"/>
        <v>513.86776402813257</v>
      </c>
      <c r="K290" s="13">
        <f t="shared" si="39"/>
        <v>338.44529071739987</v>
      </c>
    </row>
    <row r="291" spans="1:11" x14ac:dyDescent="0.3">
      <c r="A291">
        <v>283</v>
      </c>
      <c r="B291" s="3">
        <f t="shared" si="40"/>
        <v>39142.857142856643</v>
      </c>
      <c r="C291" s="3">
        <f t="shared" si="35"/>
        <v>285.71428571428572</v>
      </c>
      <c r="D291" s="3">
        <f t="shared" si="41"/>
        <v>262.85714285713954</v>
      </c>
      <c r="E291" s="3">
        <f t="shared" si="42"/>
        <v>548.57142857142526</v>
      </c>
      <c r="F291" s="3"/>
      <c r="G291">
        <v>283</v>
      </c>
      <c r="H291" s="3">
        <f t="shared" si="36"/>
        <v>76401.017720846969</v>
      </c>
      <c r="I291" s="13">
        <f t="shared" si="37"/>
        <v>852.31305474553244</v>
      </c>
      <c r="J291" s="3">
        <f t="shared" si="38"/>
        <v>511.61146209001663</v>
      </c>
      <c r="K291" s="13">
        <f t="shared" si="39"/>
        <v>340.70159265551581</v>
      </c>
    </row>
    <row r="292" spans="1:11" x14ac:dyDescent="0.3">
      <c r="A292">
        <v>284</v>
      </c>
      <c r="B292" s="3">
        <f t="shared" si="40"/>
        <v>38857.14285714236</v>
      </c>
      <c r="C292" s="3">
        <f t="shared" si="35"/>
        <v>285.71428571428572</v>
      </c>
      <c r="D292" s="3">
        <f t="shared" si="41"/>
        <v>260.95238095237761</v>
      </c>
      <c r="E292" s="3">
        <f t="shared" si="42"/>
        <v>546.66666666666333</v>
      </c>
      <c r="F292" s="3"/>
      <c r="G292">
        <v>284</v>
      </c>
      <c r="H292" s="3">
        <f t="shared" si="36"/>
        <v>76058.04478424041</v>
      </c>
      <c r="I292" s="13">
        <f t="shared" si="37"/>
        <v>852.31305474553244</v>
      </c>
      <c r="J292" s="3">
        <f t="shared" si="38"/>
        <v>509.34011813897985</v>
      </c>
      <c r="K292" s="13">
        <f t="shared" si="39"/>
        <v>342.97293660655259</v>
      </c>
    </row>
    <row r="293" spans="1:11" x14ac:dyDescent="0.3">
      <c r="A293">
        <v>285</v>
      </c>
      <c r="B293" s="3">
        <f t="shared" si="40"/>
        <v>38571.428571428078</v>
      </c>
      <c r="C293" s="3">
        <f t="shared" si="35"/>
        <v>285.71428571428572</v>
      </c>
      <c r="D293" s="3">
        <f t="shared" si="41"/>
        <v>259.04761904761574</v>
      </c>
      <c r="E293" s="3">
        <f t="shared" si="42"/>
        <v>544.76190476190141</v>
      </c>
      <c r="F293" s="3"/>
      <c r="G293">
        <v>285</v>
      </c>
      <c r="H293" s="3">
        <f t="shared" si="36"/>
        <v>75712.785361389819</v>
      </c>
      <c r="I293" s="13">
        <f t="shared" si="37"/>
        <v>852.31305474553244</v>
      </c>
      <c r="J293" s="3">
        <f t="shared" si="38"/>
        <v>507.05363189493607</v>
      </c>
      <c r="K293" s="13">
        <f t="shared" si="39"/>
        <v>345.25942285059637</v>
      </c>
    </row>
    <row r="294" spans="1:11" x14ac:dyDescent="0.3">
      <c r="A294">
        <v>286</v>
      </c>
      <c r="B294" s="3">
        <f t="shared" si="40"/>
        <v>38285.714285713795</v>
      </c>
      <c r="C294" s="3">
        <f t="shared" si="35"/>
        <v>285.71428571428572</v>
      </c>
      <c r="D294" s="3">
        <f t="shared" si="41"/>
        <v>257.14285714285387</v>
      </c>
      <c r="E294" s="3">
        <f t="shared" si="42"/>
        <v>542.85714285713959</v>
      </c>
      <c r="F294" s="3"/>
      <c r="G294">
        <v>286</v>
      </c>
      <c r="H294" s="3">
        <f t="shared" si="36"/>
        <v>75365.224209053558</v>
      </c>
      <c r="I294" s="13">
        <f t="shared" si="37"/>
        <v>852.31305474553244</v>
      </c>
      <c r="J294" s="3">
        <f t="shared" si="38"/>
        <v>504.75190240926548</v>
      </c>
      <c r="K294" s="13">
        <f t="shared" si="39"/>
        <v>347.56115233626696</v>
      </c>
    </row>
    <row r="295" spans="1:11" x14ac:dyDescent="0.3">
      <c r="A295">
        <v>287</v>
      </c>
      <c r="B295" s="3">
        <f t="shared" si="40"/>
        <v>37999.999999999513</v>
      </c>
      <c r="C295" s="3">
        <f t="shared" si="35"/>
        <v>285.71428571428572</v>
      </c>
      <c r="D295" s="3">
        <f t="shared" si="41"/>
        <v>255.23809523809197</v>
      </c>
      <c r="E295" s="3">
        <f t="shared" si="42"/>
        <v>540.95238095237767</v>
      </c>
      <c r="F295" s="3"/>
      <c r="G295">
        <v>287</v>
      </c>
      <c r="H295" s="3">
        <f t="shared" si="36"/>
        <v>75015.345982368381</v>
      </c>
      <c r="I295" s="13">
        <f t="shared" si="37"/>
        <v>852.31305474553244</v>
      </c>
      <c r="J295" s="3">
        <f t="shared" si="38"/>
        <v>502.43482806035706</v>
      </c>
      <c r="K295" s="13">
        <f t="shared" si="39"/>
        <v>349.87822668517538</v>
      </c>
    </row>
    <row r="296" spans="1:11" x14ac:dyDescent="0.3">
      <c r="A296">
        <v>288</v>
      </c>
      <c r="B296" s="3">
        <f t="shared" si="40"/>
        <v>37714.28571428523</v>
      </c>
      <c r="C296" s="3">
        <f t="shared" si="35"/>
        <v>285.71428571428572</v>
      </c>
      <c r="D296" s="3">
        <f t="shared" si="41"/>
        <v>253.3333333333301</v>
      </c>
      <c r="E296" s="3">
        <f t="shared" si="42"/>
        <v>539.04761904761585</v>
      </c>
      <c r="F296" s="3"/>
      <c r="G296">
        <v>288</v>
      </c>
      <c r="H296" s="3">
        <f t="shared" si="36"/>
        <v>74663.135234171976</v>
      </c>
      <c r="I296" s="13">
        <f t="shared" si="37"/>
        <v>852.31305474553244</v>
      </c>
      <c r="J296" s="3">
        <f t="shared" si="38"/>
        <v>500.10230654912255</v>
      </c>
      <c r="K296" s="13">
        <f t="shared" si="39"/>
        <v>352.2107481964099</v>
      </c>
    </row>
    <row r="297" spans="1:11" x14ac:dyDescent="0.3">
      <c r="A297">
        <v>289</v>
      </c>
      <c r="B297" s="3">
        <f t="shared" si="40"/>
        <v>37428.571428570947</v>
      </c>
      <c r="C297" s="3">
        <f t="shared" si="35"/>
        <v>285.71428571428572</v>
      </c>
      <c r="D297" s="3">
        <f t="shared" si="41"/>
        <v>251.4285714285682</v>
      </c>
      <c r="E297" s="3">
        <f t="shared" si="42"/>
        <v>537.14285714285393</v>
      </c>
      <c r="F297" s="3"/>
      <c r="G297">
        <v>289</v>
      </c>
      <c r="H297" s="3">
        <f t="shared" si="36"/>
        <v>74308.576414320924</v>
      </c>
      <c r="I297" s="13">
        <f t="shared" si="37"/>
        <v>852.31305474553244</v>
      </c>
      <c r="J297" s="3">
        <f t="shared" si="38"/>
        <v>497.75423489447985</v>
      </c>
      <c r="K297" s="13">
        <f t="shared" si="39"/>
        <v>354.55881985105259</v>
      </c>
    </row>
    <row r="298" spans="1:11" x14ac:dyDescent="0.3">
      <c r="A298">
        <v>290</v>
      </c>
      <c r="B298" s="3">
        <f t="shared" si="40"/>
        <v>37142.857142856665</v>
      </c>
      <c r="C298" s="3">
        <f t="shared" si="35"/>
        <v>285.71428571428572</v>
      </c>
      <c r="D298" s="3">
        <f t="shared" si="41"/>
        <v>249.52380952380634</v>
      </c>
      <c r="E298" s="3">
        <f t="shared" si="42"/>
        <v>535.238095238092</v>
      </c>
      <c r="F298" s="3"/>
      <c r="G298">
        <v>290</v>
      </c>
      <c r="H298" s="3">
        <f t="shared" si="36"/>
        <v>73951.653869004193</v>
      </c>
      <c r="I298" s="13">
        <f t="shared" si="37"/>
        <v>852.31305474553244</v>
      </c>
      <c r="J298" s="3">
        <f t="shared" si="38"/>
        <v>495.39050942880618</v>
      </c>
      <c r="K298" s="13">
        <f t="shared" si="39"/>
        <v>356.92254531672626</v>
      </c>
    </row>
    <row r="299" spans="1:11" x14ac:dyDescent="0.3">
      <c r="A299">
        <v>291</v>
      </c>
      <c r="B299" s="3">
        <f t="shared" si="40"/>
        <v>36857.142857142382</v>
      </c>
      <c r="C299" s="3">
        <f t="shared" si="35"/>
        <v>285.71428571428572</v>
      </c>
      <c r="D299" s="3">
        <f t="shared" si="41"/>
        <v>247.61904761904444</v>
      </c>
      <c r="E299" s="3">
        <f t="shared" si="42"/>
        <v>533.33333333333019</v>
      </c>
      <c r="F299" s="3"/>
      <c r="G299">
        <v>291</v>
      </c>
      <c r="H299" s="3">
        <f t="shared" si="36"/>
        <v>73592.351840052026</v>
      </c>
      <c r="I299" s="13">
        <f t="shared" si="37"/>
        <v>852.31305474553244</v>
      </c>
      <c r="J299" s="3">
        <f t="shared" si="38"/>
        <v>493.01102579336134</v>
      </c>
      <c r="K299" s="13">
        <f t="shared" si="39"/>
        <v>359.3020289521711</v>
      </c>
    </row>
    <row r="300" spans="1:11" x14ac:dyDescent="0.3">
      <c r="A300">
        <v>292</v>
      </c>
      <c r="B300" s="3">
        <f t="shared" si="40"/>
        <v>36571.4285714281</v>
      </c>
      <c r="C300" s="3">
        <f t="shared" si="35"/>
        <v>285.71428571428572</v>
      </c>
      <c r="D300" s="3">
        <f t="shared" si="41"/>
        <v>245.71428571428257</v>
      </c>
      <c r="E300" s="3">
        <f t="shared" si="42"/>
        <v>531.42857142856826</v>
      </c>
      <c r="F300" s="3"/>
      <c r="G300">
        <v>292</v>
      </c>
      <c r="H300" s="3">
        <f t="shared" si="36"/>
        <v>73230.654464240171</v>
      </c>
      <c r="I300" s="13">
        <f t="shared" si="37"/>
        <v>852.31305474553244</v>
      </c>
      <c r="J300" s="3">
        <f t="shared" si="38"/>
        <v>490.61567893368021</v>
      </c>
      <c r="K300" s="13">
        <f t="shared" si="39"/>
        <v>361.69737581185223</v>
      </c>
    </row>
    <row r="301" spans="1:11" x14ac:dyDescent="0.3">
      <c r="A301">
        <v>293</v>
      </c>
      <c r="B301" s="3">
        <f t="shared" si="40"/>
        <v>36285.714285713817</v>
      </c>
      <c r="C301" s="3">
        <f t="shared" si="35"/>
        <v>285.71428571428572</v>
      </c>
      <c r="D301" s="3">
        <f t="shared" si="41"/>
        <v>243.80952380952067</v>
      </c>
      <c r="E301" s="3">
        <f t="shared" si="42"/>
        <v>529.52380952380645</v>
      </c>
      <c r="F301" s="3"/>
      <c r="G301">
        <v>293</v>
      </c>
      <c r="H301" s="3">
        <f t="shared" si="36"/>
        <v>72866.545772589569</v>
      </c>
      <c r="I301" s="13">
        <f t="shared" si="37"/>
        <v>852.31305474553244</v>
      </c>
      <c r="J301" s="3">
        <f t="shared" si="38"/>
        <v>488.20436309493448</v>
      </c>
      <c r="K301" s="13">
        <f t="shared" si="39"/>
        <v>364.10869165059796</v>
      </c>
    </row>
    <row r="302" spans="1:11" x14ac:dyDescent="0.3">
      <c r="A302">
        <v>294</v>
      </c>
      <c r="B302" s="3">
        <f t="shared" si="40"/>
        <v>35999.999999999534</v>
      </c>
      <c r="C302" s="3">
        <f t="shared" si="35"/>
        <v>285.71428571428572</v>
      </c>
      <c r="D302" s="3">
        <f t="shared" si="41"/>
        <v>241.9047619047588</v>
      </c>
      <c r="E302" s="3">
        <f t="shared" si="42"/>
        <v>527.61904761904452</v>
      </c>
      <c r="F302" s="3"/>
      <c r="G302">
        <v>294</v>
      </c>
      <c r="H302" s="3">
        <f t="shared" si="36"/>
        <v>72500.009689661296</v>
      </c>
      <c r="I302" s="13">
        <f t="shared" si="37"/>
        <v>852.31305474553244</v>
      </c>
      <c r="J302" s="3">
        <f t="shared" si="38"/>
        <v>485.77697181726381</v>
      </c>
      <c r="K302" s="13">
        <f t="shared" si="39"/>
        <v>366.53608292826863</v>
      </c>
    </row>
    <row r="303" spans="1:11" x14ac:dyDescent="0.3">
      <c r="A303">
        <v>295</v>
      </c>
      <c r="B303" s="3">
        <f t="shared" si="40"/>
        <v>35714.285714285252</v>
      </c>
      <c r="C303" s="3">
        <f t="shared" si="35"/>
        <v>285.71428571428572</v>
      </c>
      <c r="D303" s="3">
        <f t="shared" si="41"/>
        <v>239.9999999999969</v>
      </c>
      <c r="E303" s="3">
        <f t="shared" si="42"/>
        <v>525.7142857142826</v>
      </c>
      <c r="F303" s="3"/>
      <c r="G303">
        <v>295</v>
      </c>
      <c r="H303" s="3">
        <f t="shared" si="36"/>
        <v>72131.030032846844</v>
      </c>
      <c r="I303" s="13">
        <f t="shared" si="37"/>
        <v>852.31305474553244</v>
      </c>
      <c r="J303" s="3">
        <f t="shared" si="38"/>
        <v>483.33339793107535</v>
      </c>
      <c r="K303" s="13">
        <f t="shared" si="39"/>
        <v>368.97965681445709</v>
      </c>
    </row>
    <row r="304" spans="1:11" x14ac:dyDescent="0.3">
      <c r="A304">
        <v>296</v>
      </c>
      <c r="B304" s="3">
        <f t="shared" si="40"/>
        <v>35428.571428570969</v>
      </c>
      <c r="C304" s="3">
        <f t="shared" si="35"/>
        <v>285.71428571428572</v>
      </c>
      <c r="D304" s="3">
        <f t="shared" si="41"/>
        <v>238.09523809523503</v>
      </c>
      <c r="E304" s="3">
        <f t="shared" si="42"/>
        <v>523.80952380952078</v>
      </c>
      <c r="F304" s="3"/>
      <c r="G304">
        <v>296</v>
      </c>
      <c r="H304" s="3">
        <f t="shared" si="36"/>
        <v>71759.590511653631</v>
      </c>
      <c r="I304" s="13">
        <f t="shared" si="37"/>
        <v>852.31305474553244</v>
      </c>
      <c r="J304" s="3">
        <f t="shared" si="38"/>
        <v>480.87353355231232</v>
      </c>
      <c r="K304" s="13">
        <f t="shared" si="39"/>
        <v>371.43952119322012</v>
      </c>
    </row>
    <row r="305" spans="1:11" x14ac:dyDescent="0.3">
      <c r="A305">
        <v>297</v>
      </c>
      <c r="B305" s="3">
        <f t="shared" si="40"/>
        <v>35142.857142856687</v>
      </c>
      <c r="C305" s="3">
        <f t="shared" si="35"/>
        <v>285.71428571428572</v>
      </c>
      <c r="D305" s="3">
        <f t="shared" si="41"/>
        <v>236.19047619047313</v>
      </c>
      <c r="E305" s="3">
        <f t="shared" si="42"/>
        <v>521.90476190475886</v>
      </c>
      <c r="F305" s="3"/>
      <c r="G305">
        <v>297</v>
      </c>
      <c r="H305" s="3">
        <f t="shared" si="36"/>
        <v>71385.674726985788</v>
      </c>
      <c r="I305" s="13">
        <f t="shared" si="37"/>
        <v>852.31305474553244</v>
      </c>
      <c r="J305" s="3">
        <f t="shared" si="38"/>
        <v>478.39727007769091</v>
      </c>
      <c r="K305" s="13">
        <f t="shared" si="39"/>
        <v>373.91578466784154</v>
      </c>
    </row>
    <row r="306" spans="1:11" x14ac:dyDescent="0.3">
      <c r="A306">
        <v>298</v>
      </c>
      <c r="B306" s="3">
        <f t="shared" si="40"/>
        <v>34857.142857142404</v>
      </c>
      <c r="C306" s="3">
        <f t="shared" si="35"/>
        <v>285.71428571428572</v>
      </c>
      <c r="D306" s="3">
        <f t="shared" si="41"/>
        <v>234.28571428571126</v>
      </c>
      <c r="E306" s="3">
        <f t="shared" si="42"/>
        <v>519.99999999999704</v>
      </c>
      <c r="F306" s="3"/>
      <c r="G306">
        <v>298</v>
      </c>
      <c r="H306" s="3">
        <f t="shared" si="36"/>
        <v>71009.26617042016</v>
      </c>
      <c r="I306" s="13">
        <f t="shared" si="37"/>
        <v>852.31305474553244</v>
      </c>
      <c r="J306" s="3">
        <f t="shared" si="38"/>
        <v>475.90449817990526</v>
      </c>
      <c r="K306" s="13">
        <f t="shared" si="39"/>
        <v>376.40855656562718</v>
      </c>
    </row>
    <row r="307" spans="1:11" x14ac:dyDescent="0.3">
      <c r="A307">
        <v>299</v>
      </c>
      <c r="B307" s="3">
        <f t="shared" si="40"/>
        <v>34571.428571428121</v>
      </c>
      <c r="C307" s="3">
        <f t="shared" si="35"/>
        <v>285.71428571428572</v>
      </c>
      <c r="D307" s="3">
        <f t="shared" si="41"/>
        <v>232.38095238094937</v>
      </c>
      <c r="E307" s="3">
        <f t="shared" si="42"/>
        <v>518.09523809523512</v>
      </c>
      <c r="F307" s="3"/>
      <c r="G307">
        <v>299</v>
      </c>
      <c r="H307" s="3">
        <f t="shared" si="36"/>
        <v>70630.348223477427</v>
      </c>
      <c r="I307" s="13">
        <f t="shared" si="37"/>
        <v>852.31305474553244</v>
      </c>
      <c r="J307" s="3">
        <f t="shared" si="38"/>
        <v>473.39510780280108</v>
      </c>
      <c r="K307" s="13">
        <f t="shared" si="39"/>
        <v>378.91794694273136</v>
      </c>
    </row>
    <row r="308" spans="1:11" x14ac:dyDescent="0.3">
      <c r="A308">
        <v>300</v>
      </c>
      <c r="B308" s="3">
        <f t="shared" si="40"/>
        <v>34285.714285713839</v>
      </c>
      <c r="C308" s="3">
        <f t="shared" si="35"/>
        <v>285.71428571428572</v>
      </c>
      <c r="D308" s="3">
        <f t="shared" si="41"/>
        <v>230.4761904761875</v>
      </c>
      <c r="E308" s="3">
        <f t="shared" si="42"/>
        <v>516.19047619047319</v>
      </c>
      <c r="F308" s="3"/>
      <c r="G308">
        <v>300</v>
      </c>
      <c r="H308" s="3">
        <f t="shared" si="36"/>
        <v>70248.904156888413</v>
      </c>
      <c r="I308" s="13">
        <f t="shared" si="37"/>
        <v>852.31305474553244</v>
      </c>
      <c r="J308" s="3">
        <f t="shared" si="38"/>
        <v>470.8689881565162</v>
      </c>
      <c r="K308" s="13">
        <f t="shared" si="39"/>
        <v>381.44406658901624</v>
      </c>
    </row>
    <row r="309" spans="1:11" x14ac:dyDescent="0.3">
      <c r="A309">
        <v>301</v>
      </c>
      <c r="B309" s="3">
        <f t="shared" si="40"/>
        <v>33999.999999999556</v>
      </c>
      <c r="C309" s="3">
        <f t="shared" si="35"/>
        <v>285.71428571428572</v>
      </c>
      <c r="D309" s="3">
        <f t="shared" si="41"/>
        <v>228.5714285714256</v>
      </c>
      <c r="E309" s="3">
        <f t="shared" si="42"/>
        <v>514.28571428571126</v>
      </c>
      <c r="F309" s="3"/>
      <c r="G309">
        <v>301</v>
      </c>
      <c r="H309" s="3">
        <f t="shared" si="36"/>
        <v>69864.917129855472</v>
      </c>
      <c r="I309" s="13">
        <f t="shared" si="37"/>
        <v>852.31305474553244</v>
      </c>
      <c r="J309" s="3">
        <f t="shared" si="38"/>
        <v>468.32602771258945</v>
      </c>
      <c r="K309" s="13">
        <f t="shared" si="39"/>
        <v>383.98702703294299</v>
      </c>
    </row>
    <row r="310" spans="1:11" x14ac:dyDescent="0.3">
      <c r="A310">
        <v>302</v>
      </c>
      <c r="B310" s="3">
        <f t="shared" si="40"/>
        <v>33714.285714285274</v>
      </c>
      <c r="C310" s="3">
        <f t="shared" si="35"/>
        <v>285.71428571428572</v>
      </c>
      <c r="D310" s="3">
        <f t="shared" si="41"/>
        <v>226.66666666666373</v>
      </c>
      <c r="E310" s="3">
        <f t="shared" si="42"/>
        <v>512.38095238094945</v>
      </c>
      <c r="F310" s="3"/>
      <c r="G310">
        <v>302</v>
      </c>
      <c r="H310" s="3">
        <f t="shared" si="36"/>
        <v>69478.370189308975</v>
      </c>
      <c r="I310" s="13">
        <f t="shared" si="37"/>
        <v>852.31305474553244</v>
      </c>
      <c r="J310" s="3">
        <f t="shared" si="38"/>
        <v>465.76611419903651</v>
      </c>
      <c r="K310" s="13">
        <f t="shared" si="39"/>
        <v>386.54694054649593</v>
      </c>
    </row>
    <row r="311" spans="1:11" x14ac:dyDescent="0.3">
      <c r="A311">
        <v>303</v>
      </c>
      <c r="B311" s="3">
        <f t="shared" si="40"/>
        <v>33428.571428570991</v>
      </c>
      <c r="C311" s="3">
        <f t="shared" si="35"/>
        <v>285.71428571428572</v>
      </c>
      <c r="D311" s="3">
        <f t="shared" si="41"/>
        <v>224.76190476190183</v>
      </c>
      <c r="E311" s="3">
        <f t="shared" si="42"/>
        <v>510.47619047618753</v>
      </c>
      <c r="F311" s="3"/>
      <c r="G311">
        <v>303</v>
      </c>
      <c r="H311" s="3">
        <f t="shared" si="36"/>
        <v>69089.24626915883</v>
      </c>
      <c r="I311" s="13">
        <f t="shared" si="37"/>
        <v>852.31305474553244</v>
      </c>
      <c r="J311" s="3">
        <f t="shared" si="38"/>
        <v>463.18913459539317</v>
      </c>
      <c r="K311" s="13">
        <f t="shared" si="39"/>
        <v>389.12392015013927</v>
      </c>
    </row>
    <row r="312" spans="1:11" x14ac:dyDescent="0.3">
      <c r="A312">
        <v>304</v>
      </c>
      <c r="B312" s="3">
        <f t="shared" si="40"/>
        <v>33142.857142856708</v>
      </c>
      <c r="C312" s="3">
        <f t="shared" si="35"/>
        <v>285.71428571428572</v>
      </c>
      <c r="D312" s="3">
        <f t="shared" si="41"/>
        <v>222.85714285713996</v>
      </c>
      <c r="E312" s="3">
        <f t="shared" si="42"/>
        <v>508.57142857142571</v>
      </c>
      <c r="F312" s="3"/>
      <c r="G312">
        <v>304</v>
      </c>
      <c r="H312" s="3">
        <f t="shared" si="36"/>
        <v>68697.52818954103</v>
      </c>
      <c r="I312" s="13">
        <f t="shared" si="37"/>
        <v>852.31305474553244</v>
      </c>
      <c r="J312" s="3">
        <f t="shared" si="38"/>
        <v>460.59497512772555</v>
      </c>
      <c r="K312" s="13">
        <f t="shared" si="39"/>
        <v>391.71807961780689</v>
      </c>
    </row>
    <row r="313" spans="1:11" x14ac:dyDescent="0.3">
      <c r="A313">
        <v>305</v>
      </c>
      <c r="B313" s="3">
        <f t="shared" si="40"/>
        <v>32857.142857142426</v>
      </c>
      <c r="C313" s="3">
        <f t="shared" si="35"/>
        <v>285.71428571428572</v>
      </c>
      <c r="D313" s="3">
        <f t="shared" si="41"/>
        <v>220.95238095237806</v>
      </c>
      <c r="E313" s="3">
        <f t="shared" si="42"/>
        <v>506.66666666666379</v>
      </c>
      <c r="F313" s="3"/>
      <c r="G313">
        <v>305</v>
      </c>
      <c r="H313" s="3">
        <f t="shared" si="36"/>
        <v>68303.198656059103</v>
      </c>
      <c r="I313" s="13">
        <f t="shared" si="37"/>
        <v>852.31305474553244</v>
      </c>
      <c r="J313" s="3">
        <f t="shared" si="38"/>
        <v>457.98352126360692</v>
      </c>
      <c r="K313" s="13">
        <f t="shared" si="39"/>
        <v>394.32953348192552</v>
      </c>
    </row>
    <row r="314" spans="1:11" x14ac:dyDescent="0.3">
      <c r="A314">
        <v>306</v>
      </c>
      <c r="B314" s="3">
        <f t="shared" si="40"/>
        <v>32571.42857142814</v>
      </c>
      <c r="C314" s="3">
        <f t="shared" si="35"/>
        <v>285.71428571428572</v>
      </c>
      <c r="D314" s="3">
        <f t="shared" si="41"/>
        <v>219.04761904761619</v>
      </c>
      <c r="E314" s="3">
        <f t="shared" si="42"/>
        <v>504.76190476190192</v>
      </c>
      <c r="F314" s="3"/>
      <c r="G314">
        <v>306</v>
      </c>
      <c r="H314" s="3">
        <f t="shared" si="36"/>
        <v>67906.240259020633</v>
      </c>
      <c r="I314" s="13">
        <f t="shared" si="37"/>
        <v>852.31305474553244</v>
      </c>
      <c r="J314" s="3">
        <f t="shared" si="38"/>
        <v>455.35465770706071</v>
      </c>
      <c r="K314" s="13">
        <f t="shared" si="39"/>
        <v>396.95839703847173</v>
      </c>
    </row>
    <row r="315" spans="1:11" x14ac:dyDescent="0.3">
      <c r="A315">
        <v>307</v>
      </c>
      <c r="B315" s="3">
        <f t="shared" si="40"/>
        <v>32285.714285713853</v>
      </c>
      <c r="C315" s="3">
        <f t="shared" si="35"/>
        <v>285.71428571428572</v>
      </c>
      <c r="D315" s="3">
        <f t="shared" si="41"/>
        <v>217.14285714285427</v>
      </c>
      <c r="E315" s="3">
        <f t="shared" si="42"/>
        <v>502.85714285713999</v>
      </c>
      <c r="F315" s="3"/>
      <c r="G315">
        <v>307</v>
      </c>
      <c r="H315" s="3">
        <f t="shared" si="36"/>
        <v>67506.635472668568</v>
      </c>
      <c r="I315" s="13">
        <f t="shared" si="37"/>
        <v>852.31305474553244</v>
      </c>
      <c r="J315" s="3">
        <f t="shared" si="38"/>
        <v>452.70826839347092</v>
      </c>
      <c r="K315" s="13">
        <f t="shared" si="39"/>
        <v>399.60478635206152</v>
      </c>
    </row>
    <row r="316" spans="1:11" x14ac:dyDescent="0.3">
      <c r="A316">
        <v>308</v>
      </c>
      <c r="B316" s="3">
        <f t="shared" si="40"/>
        <v>31999.999999999567</v>
      </c>
      <c r="C316" s="3">
        <f t="shared" si="35"/>
        <v>285.71428571428572</v>
      </c>
      <c r="D316" s="3">
        <f t="shared" si="41"/>
        <v>215.23809523809237</v>
      </c>
      <c r="E316" s="3">
        <f t="shared" si="42"/>
        <v>500.95238095237812</v>
      </c>
      <c r="F316" s="3"/>
      <c r="G316">
        <v>308</v>
      </c>
      <c r="H316" s="3">
        <f t="shared" si="36"/>
        <v>67104.366654407495</v>
      </c>
      <c r="I316" s="13">
        <f t="shared" si="37"/>
        <v>852.31305474553244</v>
      </c>
      <c r="J316" s="3">
        <f t="shared" si="38"/>
        <v>450.04423648445714</v>
      </c>
      <c r="K316" s="13">
        <f t="shared" si="39"/>
        <v>402.2688182610753</v>
      </c>
    </row>
    <row r="317" spans="1:11" x14ac:dyDescent="0.3">
      <c r="A317">
        <v>309</v>
      </c>
      <c r="B317" s="3">
        <f t="shared" si="40"/>
        <v>31714.285714285281</v>
      </c>
      <c r="C317" s="3">
        <f t="shared" si="35"/>
        <v>285.71428571428572</v>
      </c>
      <c r="D317" s="3">
        <f t="shared" si="41"/>
        <v>213.33333333333047</v>
      </c>
      <c r="E317" s="3">
        <f t="shared" si="42"/>
        <v>499.04761904761619</v>
      </c>
      <c r="F317" s="3"/>
      <c r="G317">
        <v>309</v>
      </c>
      <c r="H317" s="3">
        <f t="shared" si="36"/>
        <v>66699.416044024678</v>
      </c>
      <c r="I317" s="13">
        <f t="shared" si="37"/>
        <v>852.31305474553244</v>
      </c>
      <c r="J317" s="3">
        <f t="shared" si="38"/>
        <v>447.36244436271664</v>
      </c>
      <c r="K317" s="13">
        <f t="shared" si="39"/>
        <v>404.9506103828158</v>
      </c>
    </row>
    <row r="318" spans="1:11" x14ac:dyDescent="0.3">
      <c r="A318">
        <v>310</v>
      </c>
      <c r="B318" s="3">
        <f t="shared" si="40"/>
        <v>31428.571428570995</v>
      </c>
      <c r="C318" s="3">
        <f t="shared" si="35"/>
        <v>285.71428571428572</v>
      </c>
      <c r="D318" s="3">
        <f t="shared" si="41"/>
        <v>211.42857142856855</v>
      </c>
      <c r="E318" s="3">
        <f t="shared" si="42"/>
        <v>497.14285714285427</v>
      </c>
      <c r="F318" s="3"/>
      <c r="G318">
        <v>310</v>
      </c>
      <c r="H318" s="3">
        <f t="shared" si="36"/>
        <v>66291.765762905983</v>
      </c>
      <c r="I318" s="13">
        <f t="shared" si="37"/>
        <v>852.31305474553244</v>
      </c>
      <c r="J318" s="3">
        <f t="shared" si="38"/>
        <v>444.66277362683121</v>
      </c>
      <c r="K318" s="13">
        <f t="shared" si="39"/>
        <v>407.65028111870123</v>
      </c>
    </row>
    <row r="319" spans="1:11" x14ac:dyDescent="0.3">
      <c r="A319">
        <v>311</v>
      </c>
      <c r="B319" s="3">
        <f t="shared" si="40"/>
        <v>31142.857142856708</v>
      </c>
      <c r="C319" s="3">
        <f t="shared" si="35"/>
        <v>285.71428571428572</v>
      </c>
      <c r="D319" s="3">
        <f t="shared" si="41"/>
        <v>209.52380952380665</v>
      </c>
      <c r="E319" s="3">
        <f t="shared" si="42"/>
        <v>495.23809523809234</v>
      </c>
      <c r="F319" s="3"/>
      <c r="G319">
        <v>311</v>
      </c>
      <c r="H319" s="3">
        <f t="shared" si="36"/>
        <v>65881.397813246484</v>
      </c>
      <c r="I319" s="13">
        <f t="shared" si="37"/>
        <v>852.31305474553244</v>
      </c>
      <c r="J319" s="3">
        <f t="shared" si="38"/>
        <v>441.94510508603992</v>
      </c>
      <c r="K319" s="13">
        <f t="shared" si="39"/>
        <v>410.36794965949252</v>
      </c>
    </row>
    <row r="320" spans="1:11" x14ac:dyDescent="0.3">
      <c r="A320">
        <v>312</v>
      </c>
      <c r="B320" s="3">
        <f t="shared" si="40"/>
        <v>30857.142857142422</v>
      </c>
      <c r="C320" s="3">
        <f t="shared" si="35"/>
        <v>285.71428571428572</v>
      </c>
      <c r="D320" s="3">
        <f t="shared" si="41"/>
        <v>207.61904761904475</v>
      </c>
      <c r="E320" s="3">
        <f t="shared" si="42"/>
        <v>493.33333333333047</v>
      </c>
      <c r="F320" s="3"/>
      <c r="G320">
        <v>312</v>
      </c>
      <c r="H320" s="3">
        <f t="shared" si="36"/>
        <v>65468.29407725593</v>
      </c>
      <c r="I320" s="13">
        <f t="shared" si="37"/>
        <v>852.31305474553244</v>
      </c>
      <c r="J320" s="3">
        <f t="shared" si="38"/>
        <v>439.20931875497661</v>
      </c>
      <c r="K320" s="13">
        <f t="shared" si="39"/>
        <v>413.10373599055583</v>
      </c>
    </row>
    <row r="321" spans="1:11" x14ac:dyDescent="0.3">
      <c r="A321">
        <v>313</v>
      </c>
      <c r="B321" s="3">
        <f t="shared" si="40"/>
        <v>30571.428571428136</v>
      </c>
      <c r="C321" s="3">
        <f t="shared" si="35"/>
        <v>285.71428571428572</v>
      </c>
      <c r="D321" s="3">
        <f t="shared" si="41"/>
        <v>205.71428571428282</v>
      </c>
      <c r="E321" s="3">
        <f t="shared" si="42"/>
        <v>491.42857142856855</v>
      </c>
      <c r="F321" s="3"/>
      <c r="G321">
        <v>313</v>
      </c>
      <c r="H321" s="3">
        <f t="shared" si="36"/>
        <v>65052.43631635877</v>
      </c>
      <c r="I321" s="13">
        <f t="shared" si="37"/>
        <v>852.31305474553244</v>
      </c>
      <c r="J321" s="3">
        <f t="shared" si="38"/>
        <v>436.45529384837289</v>
      </c>
      <c r="K321" s="13">
        <f t="shared" si="39"/>
        <v>415.85776089715955</v>
      </c>
    </row>
    <row r="322" spans="1:11" x14ac:dyDescent="0.3">
      <c r="A322">
        <v>314</v>
      </c>
      <c r="B322" s="3">
        <f t="shared" si="40"/>
        <v>30285.71428571385</v>
      </c>
      <c r="C322" s="3">
        <f t="shared" si="35"/>
        <v>285.71428571428572</v>
      </c>
      <c r="D322" s="3">
        <f t="shared" si="41"/>
        <v>203.80952380952093</v>
      </c>
      <c r="E322" s="3">
        <f t="shared" si="42"/>
        <v>489.52380952380668</v>
      </c>
      <c r="F322" s="3"/>
      <c r="G322">
        <v>314</v>
      </c>
      <c r="H322" s="3">
        <f t="shared" si="36"/>
        <v>64633.806170388962</v>
      </c>
      <c r="I322" s="13">
        <f t="shared" si="37"/>
        <v>852.31305474553244</v>
      </c>
      <c r="J322" s="3">
        <f t="shared" si="38"/>
        <v>433.68290877572514</v>
      </c>
      <c r="K322" s="13">
        <f t="shared" si="39"/>
        <v>418.6301459698073</v>
      </c>
    </row>
    <row r="323" spans="1:11" x14ac:dyDescent="0.3">
      <c r="A323">
        <v>315</v>
      </c>
      <c r="B323" s="3">
        <f t="shared" si="40"/>
        <v>29999.999999999563</v>
      </c>
      <c r="C323" s="3">
        <f t="shared" si="35"/>
        <v>285.71428571428572</v>
      </c>
      <c r="D323" s="3">
        <f t="shared" si="41"/>
        <v>201.904761904759</v>
      </c>
      <c r="E323" s="3">
        <f t="shared" si="42"/>
        <v>487.61904761904475</v>
      </c>
      <c r="F323" s="3"/>
      <c r="G323">
        <v>315</v>
      </c>
      <c r="H323" s="3">
        <f t="shared" si="36"/>
        <v>64212.385156779354</v>
      </c>
      <c r="I323" s="13">
        <f t="shared" si="37"/>
        <v>852.31305474553244</v>
      </c>
      <c r="J323" s="3">
        <f t="shared" si="38"/>
        <v>430.89204113592643</v>
      </c>
      <c r="K323" s="13">
        <f t="shared" si="39"/>
        <v>421.42101360960601</v>
      </c>
    </row>
    <row r="324" spans="1:11" x14ac:dyDescent="0.3">
      <c r="A324">
        <v>316</v>
      </c>
      <c r="B324" s="3">
        <f t="shared" si="40"/>
        <v>29714.285714285277</v>
      </c>
      <c r="C324" s="3">
        <f t="shared" si="35"/>
        <v>285.71428571428572</v>
      </c>
      <c r="D324" s="3">
        <f t="shared" si="41"/>
        <v>199.9999999999971</v>
      </c>
      <c r="E324" s="3">
        <f t="shared" si="42"/>
        <v>485.71428571428282</v>
      </c>
      <c r="F324" s="3"/>
      <c r="G324">
        <v>316</v>
      </c>
      <c r="H324" s="3">
        <f t="shared" si="36"/>
        <v>63788.154669745687</v>
      </c>
      <c r="I324" s="13">
        <f t="shared" si="37"/>
        <v>852.31305474553244</v>
      </c>
      <c r="J324" s="3">
        <f t="shared" si="38"/>
        <v>428.0825677118624</v>
      </c>
      <c r="K324" s="13">
        <f t="shared" si="39"/>
        <v>424.23048703367004</v>
      </c>
    </row>
    <row r="325" spans="1:11" x14ac:dyDescent="0.3">
      <c r="A325">
        <v>317</v>
      </c>
      <c r="B325" s="3">
        <f t="shared" si="40"/>
        <v>29428.571428570991</v>
      </c>
      <c r="C325" s="3">
        <f t="shared" si="35"/>
        <v>285.71428571428572</v>
      </c>
      <c r="D325" s="3">
        <f t="shared" si="41"/>
        <v>198.0952380952352</v>
      </c>
      <c r="E325" s="3">
        <f t="shared" si="42"/>
        <v>483.8095238095209</v>
      </c>
      <c r="F325" s="3"/>
      <c r="G325">
        <v>317</v>
      </c>
      <c r="H325" s="3">
        <f t="shared" si="36"/>
        <v>63361.095979465128</v>
      </c>
      <c r="I325" s="13">
        <f t="shared" si="37"/>
        <v>852.31305474553244</v>
      </c>
      <c r="J325" s="3">
        <f t="shared" si="38"/>
        <v>425.25436446497127</v>
      </c>
      <c r="K325" s="13">
        <f t="shared" si="39"/>
        <v>427.05869028056117</v>
      </c>
    </row>
    <row r="326" spans="1:11" x14ac:dyDescent="0.3">
      <c r="A326">
        <v>318</v>
      </c>
      <c r="B326" s="3">
        <f t="shared" si="40"/>
        <v>29142.857142856705</v>
      </c>
      <c r="C326" s="3">
        <f t="shared" si="35"/>
        <v>285.71428571428572</v>
      </c>
      <c r="D326" s="3">
        <f t="shared" si="41"/>
        <v>196.19047619047328</v>
      </c>
      <c r="E326" s="3">
        <f t="shared" si="42"/>
        <v>481.90476190475897</v>
      </c>
      <c r="F326" s="3"/>
      <c r="G326">
        <v>318</v>
      </c>
      <c r="H326" s="3">
        <f t="shared" si="36"/>
        <v>62931.190231249362</v>
      </c>
      <c r="I326" s="13">
        <f t="shared" si="37"/>
        <v>852.31305474553244</v>
      </c>
      <c r="J326" s="3">
        <f t="shared" si="38"/>
        <v>422.40730652976754</v>
      </c>
      <c r="K326" s="13">
        <f t="shared" si="39"/>
        <v>429.9057482157649</v>
      </c>
    </row>
    <row r="327" spans="1:11" x14ac:dyDescent="0.3">
      <c r="A327">
        <v>319</v>
      </c>
      <c r="B327" s="3">
        <f t="shared" si="40"/>
        <v>28857.142857142419</v>
      </c>
      <c r="C327" s="3">
        <f t="shared" si="35"/>
        <v>285.71428571428572</v>
      </c>
      <c r="D327" s="3">
        <f t="shared" si="41"/>
        <v>194.28571428571138</v>
      </c>
      <c r="E327" s="3">
        <f t="shared" si="42"/>
        <v>479.9999999999971</v>
      </c>
      <c r="F327" s="3"/>
      <c r="G327">
        <v>319</v>
      </c>
      <c r="H327" s="3">
        <f t="shared" si="36"/>
        <v>62498.418444712159</v>
      </c>
      <c r="I327" s="13">
        <f t="shared" si="37"/>
        <v>852.31305474553244</v>
      </c>
      <c r="J327" s="3">
        <f t="shared" si="38"/>
        <v>419.54126820832909</v>
      </c>
      <c r="K327" s="13">
        <f t="shared" si="39"/>
        <v>432.77178653720335</v>
      </c>
    </row>
    <row r="328" spans="1:11" x14ac:dyDescent="0.3">
      <c r="A328">
        <v>320</v>
      </c>
      <c r="B328" s="3">
        <f t="shared" si="40"/>
        <v>28571.428571428132</v>
      </c>
      <c r="C328" s="3">
        <f t="shared" si="35"/>
        <v>285.71428571428572</v>
      </c>
      <c r="D328" s="3">
        <f t="shared" si="41"/>
        <v>192.38095238094948</v>
      </c>
      <c r="E328" s="3">
        <f t="shared" si="42"/>
        <v>478.09523809523523</v>
      </c>
      <c r="F328" s="3"/>
      <c r="G328">
        <v>320</v>
      </c>
      <c r="H328" s="3">
        <f t="shared" si="36"/>
        <v>62062.761512931371</v>
      </c>
      <c r="I328" s="13">
        <f t="shared" si="37"/>
        <v>852.31305474553244</v>
      </c>
      <c r="J328" s="3">
        <f t="shared" si="38"/>
        <v>416.65612296474774</v>
      </c>
      <c r="K328" s="13">
        <f t="shared" si="39"/>
        <v>435.6569317807847</v>
      </c>
    </row>
    <row r="329" spans="1:11" x14ac:dyDescent="0.3">
      <c r="A329">
        <v>321</v>
      </c>
      <c r="B329" s="3">
        <f t="shared" si="40"/>
        <v>28285.714285713846</v>
      </c>
      <c r="C329" s="3">
        <f t="shared" si="35"/>
        <v>285.71428571428572</v>
      </c>
      <c r="D329" s="3">
        <f t="shared" si="41"/>
        <v>190.47619047618755</v>
      </c>
      <c r="E329" s="3">
        <f t="shared" si="42"/>
        <v>476.1904761904733</v>
      </c>
      <c r="F329" s="3"/>
      <c r="G329">
        <v>321</v>
      </c>
      <c r="H329" s="3">
        <f t="shared" si="36"/>
        <v>61624.200201605381</v>
      </c>
      <c r="I329" s="13">
        <f t="shared" si="37"/>
        <v>852.31305474553244</v>
      </c>
      <c r="J329" s="3">
        <f t="shared" si="38"/>
        <v>413.75174341954249</v>
      </c>
      <c r="K329" s="13">
        <f t="shared" si="39"/>
        <v>438.56131132598995</v>
      </c>
    </row>
    <row r="330" spans="1:11" x14ac:dyDescent="0.3">
      <c r="A330">
        <v>322</v>
      </c>
      <c r="B330" s="3">
        <f t="shared" si="40"/>
        <v>27999.99999999956</v>
      </c>
      <c r="C330" s="3">
        <f t="shared" ref="C330:C393" si="43">$B$2/$B$4</f>
        <v>285.71428571428572</v>
      </c>
      <c r="D330" s="3">
        <f t="shared" si="41"/>
        <v>188.57142857142566</v>
      </c>
      <c r="E330" s="3">
        <f t="shared" si="42"/>
        <v>474.28571428571138</v>
      </c>
      <c r="F330" s="3"/>
      <c r="G330">
        <v>322</v>
      </c>
      <c r="H330" s="3">
        <f t="shared" ref="H330:H393" si="44">H329-K330</f>
        <v>61182.715148203883</v>
      </c>
      <c r="I330" s="13">
        <f t="shared" ref="I330:I393" si="45">PMT($B$3, $B$4, -$B$2)</f>
        <v>852.31305474553244</v>
      </c>
      <c r="J330" s="3">
        <f t="shared" ref="J330:J393" si="46">H329*$B$3</f>
        <v>410.8280013440359</v>
      </c>
      <c r="K330" s="13">
        <f t="shared" ref="K330:K393" si="47">I330-J330</f>
        <v>441.48505340149654</v>
      </c>
    </row>
    <row r="331" spans="1:11" x14ac:dyDescent="0.3">
      <c r="A331">
        <v>323</v>
      </c>
      <c r="B331" s="3">
        <f t="shared" si="40"/>
        <v>27714.285714285274</v>
      </c>
      <c r="C331" s="3">
        <f t="shared" si="43"/>
        <v>285.71428571428572</v>
      </c>
      <c r="D331" s="3">
        <f t="shared" si="41"/>
        <v>186.66666666666376</v>
      </c>
      <c r="E331" s="3">
        <f t="shared" si="42"/>
        <v>472.38095238094945</v>
      </c>
      <c r="F331" s="3"/>
      <c r="G331">
        <v>323</v>
      </c>
      <c r="H331" s="3">
        <f t="shared" si="44"/>
        <v>60738.28686111304</v>
      </c>
      <c r="I331" s="13">
        <f t="shared" si="45"/>
        <v>852.31305474553244</v>
      </c>
      <c r="J331" s="3">
        <f t="shared" si="46"/>
        <v>407.88476765469255</v>
      </c>
      <c r="K331" s="13">
        <f t="shared" si="47"/>
        <v>444.42828709083989</v>
      </c>
    </row>
    <row r="332" spans="1:11" x14ac:dyDescent="0.3">
      <c r="A332">
        <v>324</v>
      </c>
      <c r="B332" s="3">
        <f t="shared" si="40"/>
        <v>27428.571428570987</v>
      </c>
      <c r="C332" s="3">
        <f t="shared" si="43"/>
        <v>285.71428571428572</v>
      </c>
      <c r="D332" s="3">
        <f t="shared" si="41"/>
        <v>184.76190476190183</v>
      </c>
      <c r="E332" s="3">
        <f t="shared" si="42"/>
        <v>470.47619047618753</v>
      </c>
      <c r="F332" s="3"/>
      <c r="G332">
        <v>324</v>
      </c>
      <c r="H332" s="3">
        <f t="shared" si="44"/>
        <v>60290.895718774926</v>
      </c>
      <c r="I332" s="13">
        <f t="shared" si="45"/>
        <v>852.31305474553244</v>
      </c>
      <c r="J332" s="3">
        <f t="shared" si="46"/>
        <v>404.92191240742028</v>
      </c>
      <c r="K332" s="13">
        <f t="shared" si="47"/>
        <v>447.39114233811216</v>
      </c>
    </row>
    <row r="333" spans="1:11" x14ac:dyDescent="0.3">
      <c r="A333">
        <v>325</v>
      </c>
      <c r="B333" s="3">
        <f t="shared" si="40"/>
        <v>27142.857142856701</v>
      </c>
      <c r="C333" s="3">
        <f t="shared" si="43"/>
        <v>285.71428571428572</v>
      </c>
      <c r="D333" s="3">
        <f t="shared" si="41"/>
        <v>182.85714285713993</v>
      </c>
      <c r="E333" s="3">
        <f t="shared" si="42"/>
        <v>468.57142857142566</v>
      </c>
      <c r="F333" s="3"/>
      <c r="G333">
        <v>325</v>
      </c>
      <c r="H333" s="3">
        <f t="shared" si="44"/>
        <v>59840.521968821224</v>
      </c>
      <c r="I333" s="13">
        <f t="shared" si="45"/>
        <v>852.31305474553244</v>
      </c>
      <c r="J333" s="3">
        <f t="shared" si="46"/>
        <v>401.93930479183285</v>
      </c>
      <c r="K333" s="13">
        <f t="shared" si="47"/>
        <v>450.37374995369959</v>
      </c>
    </row>
    <row r="334" spans="1:11" x14ac:dyDescent="0.3">
      <c r="A334">
        <v>326</v>
      </c>
      <c r="B334" s="3">
        <f t="shared" si="40"/>
        <v>26857.142857142415</v>
      </c>
      <c r="C334" s="3">
        <f t="shared" si="43"/>
        <v>285.71428571428572</v>
      </c>
      <c r="D334" s="3">
        <f t="shared" si="41"/>
        <v>180.95238095237801</v>
      </c>
      <c r="E334" s="3">
        <f t="shared" si="42"/>
        <v>466.66666666666373</v>
      </c>
      <c r="F334" s="3"/>
      <c r="G334">
        <v>326</v>
      </c>
      <c r="H334" s="3">
        <f t="shared" si="44"/>
        <v>59387.145727201168</v>
      </c>
      <c r="I334" s="13">
        <f t="shared" si="45"/>
        <v>852.31305474553244</v>
      </c>
      <c r="J334" s="3">
        <f t="shared" si="46"/>
        <v>398.93681312547483</v>
      </c>
      <c r="K334" s="13">
        <f t="shared" si="47"/>
        <v>453.37624162005761</v>
      </c>
    </row>
    <row r="335" spans="1:11" x14ac:dyDescent="0.3">
      <c r="A335">
        <v>327</v>
      </c>
      <c r="B335" s="3">
        <f t="shared" si="40"/>
        <v>26571.428571428129</v>
      </c>
      <c r="C335" s="3">
        <f t="shared" si="43"/>
        <v>285.71428571428572</v>
      </c>
      <c r="D335" s="3">
        <f t="shared" si="41"/>
        <v>179.04761904761611</v>
      </c>
      <c r="E335" s="3">
        <f t="shared" si="42"/>
        <v>464.76190476190186</v>
      </c>
      <c r="F335" s="3"/>
      <c r="G335">
        <v>327</v>
      </c>
      <c r="H335" s="3">
        <f t="shared" si="44"/>
        <v>58930.746977303643</v>
      </c>
      <c r="I335" s="13">
        <f t="shared" si="45"/>
        <v>852.31305474553244</v>
      </c>
      <c r="J335" s="3">
        <f t="shared" si="46"/>
        <v>395.91430484800782</v>
      </c>
      <c r="K335" s="13">
        <f t="shared" si="47"/>
        <v>456.39874989752462</v>
      </c>
    </row>
    <row r="336" spans="1:11" x14ac:dyDescent="0.3">
      <c r="A336">
        <v>328</v>
      </c>
      <c r="B336" s="3">
        <f t="shared" si="40"/>
        <v>26285.714285713842</v>
      </c>
      <c r="C336" s="3">
        <f t="shared" si="43"/>
        <v>285.71428571428572</v>
      </c>
      <c r="D336" s="3">
        <f t="shared" si="41"/>
        <v>177.14285714285421</v>
      </c>
      <c r="E336" s="3">
        <f t="shared" si="42"/>
        <v>462.85714285713993</v>
      </c>
      <c r="F336" s="3"/>
      <c r="G336">
        <v>328</v>
      </c>
      <c r="H336" s="3">
        <f t="shared" si="44"/>
        <v>58471.305569073469</v>
      </c>
      <c r="I336" s="13">
        <f t="shared" si="45"/>
        <v>852.31305474553244</v>
      </c>
      <c r="J336" s="3">
        <f t="shared" si="46"/>
        <v>392.87164651535767</v>
      </c>
      <c r="K336" s="13">
        <f t="shared" si="47"/>
        <v>459.44140823017477</v>
      </c>
    </row>
    <row r="337" spans="1:11" x14ac:dyDescent="0.3">
      <c r="A337">
        <v>329</v>
      </c>
      <c r="B337" s="3">
        <f t="shared" ref="B337:B400" si="48">B336-C337</f>
        <v>25999.999999999556</v>
      </c>
      <c r="C337" s="3">
        <f t="shared" si="43"/>
        <v>285.71428571428572</v>
      </c>
      <c r="D337" s="3">
        <f t="shared" ref="D337:D400" si="49">B336*$B$3</f>
        <v>175.23809523809228</v>
      </c>
      <c r="E337" s="3">
        <f t="shared" ref="E337:E400" si="50">D337+C337</f>
        <v>460.95238095237801</v>
      </c>
      <c r="F337" s="3"/>
      <c r="G337">
        <v>329</v>
      </c>
      <c r="H337" s="3">
        <f t="shared" si="44"/>
        <v>58008.801218121756</v>
      </c>
      <c r="I337" s="13">
        <f t="shared" si="45"/>
        <v>852.31305474553244</v>
      </c>
      <c r="J337" s="3">
        <f t="shared" si="46"/>
        <v>389.80870379382316</v>
      </c>
      <c r="K337" s="13">
        <f t="shared" si="47"/>
        <v>462.50435095170928</v>
      </c>
    </row>
    <row r="338" spans="1:11" x14ac:dyDescent="0.3">
      <c r="A338">
        <v>330</v>
      </c>
      <c r="B338" s="3">
        <f t="shared" si="48"/>
        <v>25714.28571428527</v>
      </c>
      <c r="C338" s="3">
        <f t="shared" si="43"/>
        <v>285.71428571428572</v>
      </c>
      <c r="D338" s="3">
        <f t="shared" si="49"/>
        <v>173.33333333333039</v>
      </c>
      <c r="E338" s="3">
        <f t="shared" si="50"/>
        <v>459.04761904761608</v>
      </c>
      <c r="F338" s="3"/>
      <c r="G338">
        <v>330</v>
      </c>
      <c r="H338" s="3">
        <f t="shared" si="44"/>
        <v>57543.213504830368</v>
      </c>
      <c r="I338" s="13">
        <f t="shared" si="45"/>
        <v>852.31305474553244</v>
      </c>
      <c r="J338" s="3">
        <f t="shared" si="46"/>
        <v>386.72534145414505</v>
      </c>
      <c r="K338" s="13">
        <f t="shared" si="47"/>
        <v>465.58771329138739</v>
      </c>
    </row>
    <row r="339" spans="1:11" x14ac:dyDescent="0.3">
      <c r="A339">
        <v>331</v>
      </c>
      <c r="B339" s="3">
        <f t="shared" si="48"/>
        <v>25428.571428570984</v>
      </c>
      <c r="C339" s="3">
        <f t="shared" si="43"/>
        <v>285.71428571428572</v>
      </c>
      <c r="D339" s="3">
        <f t="shared" si="49"/>
        <v>171.42857142856849</v>
      </c>
      <c r="E339" s="3">
        <f t="shared" si="50"/>
        <v>457.14285714285421</v>
      </c>
      <c r="F339" s="3"/>
      <c r="G339">
        <v>331</v>
      </c>
      <c r="H339" s="3">
        <f t="shared" si="44"/>
        <v>57074.521873450372</v>
      </c>
      <c r="I339" s="13">
        <f t="shared" si="45"/>
        <v>852.31305474553244</v>
      </c>
      <c r="J339" s="3">
        <f t="shared" si="46"/>
        <v>383.6214233655358</v>
      </c>
      <c r="K339" s="13">
        <f t="shared" si="47"/>
        <v>468.69163137999664</v>
      </c>
    </row>
    <row r="340" spans="1:11" x14ac:dyDescent="0.3">
      <c r="A340">
        <v>332</v>
      </c>
      <c r="B340" s="3">
        <f t="shared" si="48"/>
        <v>25142.857142856697</v>
      </c>
      <c r="C340" s="3">
        <f t="shared" si="43"/>
        <v>285.71428571428572</v>
      </c>
      <c r="D340" s="3">
        <f t="shared" si="49"/>
        <v>169.52380952380656</v>
      </c>
      <c r="E340" s="3">
        <f t="shared" si="50"/>
        <v>455.23809523809228</v>
      </c>
      <c r="F340" s="3"/>
      <c r="G340">
        <v>332</v>
      </c>
      <c r="H340" s="3">
        <f t="shared" si="44"/>
        <v>56602.705631194513</v>
      </c>
      <c r="I340" s="13">
        <f t="shared" si="45"/>
        <v>852.31305474553244</v>
      </c>
      <c r="J340" s="3">
        <f t="shared" si="46"/>
        <v>380.4968124896692</v>
      </c>
      <c r="K340" s="13">
        <f t="shared" si="47"/>
        <v>471.81624225586324</v>
      </c>
    </row>
    <row r="341" spans="1:11" x14ac:dyDescent="0.3">
      <c r="A341">
        <v>333</v>
      </c>
      <c r="B341" s="3">
        <f t="shared" si="48"/>
        <v>24857.142857142411</v>
      </c>
      <c r="C341" s="3">
        <f t="shared" si="43"/>
        <v>285.71428571428572</v>
      </c>
      <c r="D341" s="3">
        <f t="shared" si="49"/>
        <v>167.61904761904466</v>
      </c>
      <c r="E341" s="3">
        <f t="shared" si="50"/>
        <v>453.33333333333042</v>
      </c>
      <c r="F341" s="3"/>
      <c r="G341">
        <v>333</v>
      </c>
      <c r="H341" s="3">
        <f t="shared" si="44"/>
        <v>56127.743947323608</v>
      </c>
      <c r="I341" s="13">
        <f t="shared" si="45"/>
        <v>852.31305474553244</v>
      </c>
      <c r="J341" s="3">
        <f t="shared" si="46"/>
        <v>377.35137087463011</v>
      </c>
      <c r="K341" s="13">
        <f t="shared" si="47"/>
        <v>474.96168387090233</v>
      </c>
    </row>
    <row r="342" spans="1:11" x14ac:dyDescent="0.3">
      <c r="A342">
        <v>334</v>
      </c>
      <c r="B342" s="3">
        <f t="shared" si="48"/>
        <v>24571.428571428125</v>
      </c>
      <c r="C342" s="3">
        <f t="shared" si="43"/>
        <v>285.71428571428572</v>
      </c>
      <c r="D342" s="3">
        <f t="shared" si="49"/>
        <v>165.71428571428274</v>
      </c>
      <c r="E342" s="3">
        <f t="shared" si="50"/>
        <v>451.42857142856849</v>
      </c>
      <c r="F342" s="3"/>
      <c r="G342">
        <v>334</v>
      </c>
      <c r="H342" s="3">
        <f t="shared" si="44"/>
        <v>55649.615852226903</v>
      </c>
      <c r="I342" s="13">
        <f t="shared" si="45"/>
        <v>852.31305474553244</v>
      </c>
      <c r="J342" s="3">
        <f t="shared" si="46"/>
        <v>374.18495964882408</v>
      </c>
      <c r="K342" s="13">
        <f t="shared" si="47"/>
        <v>478.12809509670836</v>
      </c>
    </row>
    <row r="343" spans="1:11" x14ac:dyDescent="0.3">
      <c r="A343">
        <v>335</v>
      </c>
      <c r="B343" s="3">
        <f t="shared" si="48"/>
        <v>24285.714285713839</v>
      </c>
      <c r="C343" s="3">
        <f t="shared" si="43"/>
        <v>285.71428571428572</v>
      </c>
      <c r="D343" s="3">
        <f t="shared" si="49"/>
        <v>163.80952380952084</v>
      </c>
      <c r="E343" s="3">
        <f t="shared" si="50"/>
        <v>449.52380952380656</v>
      </c>
      <c r="F343" s="3"/>
      <c r="G343">
        <v>335</v>
      </c>
      <c r="H343" s="3">
        <f t="shared" si="44"/>
        <v>55168.300236496216</v>
      </c>
      <c r="I343" s="13">
        <f t="shared" si="45"/>
        <v>852.31305474553244</v>
      </c>
      <c r="J343" s="3">
        <f t="shared" si="46"/>
        <v>370.99743901484607</v>
      </c>
      <c r="K343" s="13">
        <f t="shared" si="47"/>
        <v>481.31561573068637</v>
      </c>
    </row>
    <row r="344" spans="1:11" x14ac:dyDescent="0.3">
      <c r="A344">
        <v>336</v>
      </c>
      <c r="B344" s="3">
        <f t="shared" si="48"/>
        <v>23999.999999999553</v>
      </c>
      <c r="C344" s="3">
        <f t="shared" si="43"/>
        <v>285.71428571428572</v>
      </c>
      <c r="D344" s="3">
        <f t="shared" si="49"/>
        <v>161.90476190475894</v>
      </c>
      <c r="E344" s="3">
        <f t="shared" si="50"/>
        <v>447.61904761904464</v>
      </c>
      <c r="F344" s="3"/>
      <c r="G344">
        <v>336</v>
      </c>
      <c r="H344" s="3">
        <f t="shared" si="44"/>
        <v>54683.775849993988</v>
      </c>
      <c r="I344" s="13">
        <f t="shared" si="45"/>
        <v>852.31305474553244</v>
      </c>
      <c r="J344" s="3">
        <f t="shared" si="46"/>
        <v>367.78866824330811</v>
      </c>
      <c r="K344" s="13">
        <f t="shared" si="47"/>
        <v>484.52438650222433</v>
      </c>
    </row>
    <row r="345" spans="1:11" x14ac:dyDescent="0.3">
      <c r="A345">
        <v>337</v>
      </c>
      <c r="B345" s="3">
        <f t="shared" si="48"/>
        <v>23714.285714285266</v>
      </c>
      <c r="C345" s="3">
        <f t="shared" si="43"/>
        <v>285.71428571428572</v>
      </c>
      <c r="D345" s="3">
        <f t="shared" si="49"/>
        <v>159.99999999999702</v>
      </c>
      <c r="E345" s="3">
        <f t="shared" si="50"/>
        <v>445.71428571428271</v>
      </c>
      <c r="F345" s="3"/>
      <c r="G345">
        <v>337</v>
      </c>
      <c r="H345" s="3">
        <f t="shared" si="44"/>
        <v>54196.021300915083</v>
      </c>
      <c r="I345" s="13">
        <f t="shared" si="45"/>
        <v>852.31305474553244</v>
      </c>
      <c r="J345" s="3">
        <f t="shared" si="46"/>
        <v>364.55850566662662</v>
      </c>
      <c r="K345" s="13">
        <f t="shared" si="47"/>
        <v>487.75454907890582</v>
      </c>
    </row>
    <row r="346" spans="1:11" x14ac:dyDescent="0.3">
      <c r="A346">
        <v>338</v>
      </c>
      <c r="B346" s="3">
        <f t="shared" si="48"/>
        <v>23428.57142857098</v>
      </c>
      <c r="C346" s="3">
        <f t="shared" si="43"/>
        <v>285.71428571428572</v>
      </c>
      <c r="D346" s="3">
        <f t="shared" si="49"/>
        <v>158.09523809523512</v>
      </c>
      <c r="E346" s="3">
        <f t="shared" si="50"/>
        <v>443.80952380952084</v>
      </c>
      <c r="F346" s="3"/>
      <c r="G346">
        <v>338</v>
      </c>
      <c r="H346" s="3">
        <f t="shared" si="44"/>
        <v>53705.015054842319</v>
      </c>
      <c r="I346" s="13">
        <f t="shared" si="45"/>
        <v>852.31305474553244</v>
      </c>
      <c r="J346" s="3">
        <f t="shared" si="46"/>
        <v>361.30680867276726</v>
      </c>
      <c r="K346" s="13">
        <f t="shared" si="47"/>
        <v>491.00624607276518</v>
      </c>
    </row>
    <row r="347" spans="1:11" x14ac:dyDescent="0.3">
      <c r="A347">
        <v>339</v>
      </c>
      <c r="B347" s="3">
        <f t="shared" si="48"/>
        <v>23142.857142856694</v>
      </c>
      <c r="C347" s="3">
        <f t="shared" si="43"/>
        <v>285.71428571428572</v>
      </c>
      <c r="D347" s="3">
        <f t="shared" si="49"/>
        <v>156.19047619047322</v>
      </c>
      <c r="E347" s="3">
        <f t="shared" si="50"/>
        <v>441.90476190475897</v>
      </c>
      <c r="F347" s="3"/>
      <c r="G347">
        <v>339</v>
      </c>
      <c r="H347" s="3">
        <f t="shared" si="44"/>
        <v>53210.735433795737</v>
      </c>
      <c r="I347" s="13">
        <f t="shared" si="45"/>
        <v>852.31305474553244</v>
      </c>
      <c r="J347" s="3">
        <f t="shared" si="46"/>
        <v>358.03343369894884</v>
      </c>
      <c r="K347" s="13">
        <f t="shared" si="47"/>
        <v>494.2796210465836</v>
      </c>
    </row>
    <row r="348" spans="1:11" x14ac:dyDescent="0.3">
      <c r="A348">
        <v>340</v>
      </c>
      <c r="B348" s="3">
        <f t="shared" si="48"/>
        <v>22857.142857142408</v>
      </c>
      <c r="C348" s="3">
        <f t="shared" si="43"/>
        <v>285.71428571428572</v>
      </c>
      <c r="D348" s="3">
        <f t="shared" si="49"/>
        <v>154.28571428571129</v>
      </c>
      <c r="E348" s="3">
        <f t="shared" si="50"/>
        <v>439.99999999999704</v>
      </c>
      <c r="F348" s="3"/>
      <c r="G348">
        <v>340</v>
      </c>
      <c r="H348" s="3">
        <f t="shared" si="44"/>
        <v>52713.160615275512</v>
      </c>
      <c r="I348" s="13">
        <f t="shared" si="45"/>
        <v>852.31305474553244</v>
      </c>
      <c r="J348" s="3">
        <f t="shared" si="46"/>
        <v>354.73823622530495</v>
      </c>
      <c r="K348" s="13">
        <f t="shared" si="47"/>
        <v>497.5748185202275</v>
      </c>
    </row>
    <row r="349" spans="1:11" x14ac:dyDescent="0.3">
      <c r="A349">
        <v>341</v>
      </c>
      <c r="B349" s="3">
        <f t="shared" si="48"/>
        <v>22571.428571428121</v>
      </c>
      <c r="C349" s="3">
        <f t="shared" si="43"/>
        <v>285.71428571428572</v>
      </c>
      <c r="D349" s="3">
        <f t="shared" si="49"/>
        <v>152.3809523809494</v>
      </c>
      <c r="E349" s="3">
        <f t="shared" si="50"/>
        <v>438.09523809523512</v>
      </c>
      <c r="F349" s="3"/>
      <c r="G349">
        <v>341</v>
      </c>
      <c r="H349" s="3">
        <f t="shared" si="44"/>
        <v>52212.268631298481</v>
      </c>
      <c r="I349" s="13">
        <f t="shared" si="45"/>
        <v>852.31305474553244</v>
      </c>
      <c r="J349" s="3">
        <f t="shared" si="46"/>
        <v>351.42107076850345</v>
      </c>
      <c r="K349" s="13">
        <f t="shared" si="47"/>
        <v>500.89198397702899</v>
      </c>
    </row>
    <row r="350" spans="1:11" x14ac:dyDescent="0.3">
      <c r="A350">
        <v>342</v>
      </c>
      <c r="B350" s="3">
        <f t="shared" si="48"/>
        <v>22285.714285713835</v>
      </c>
      <c r="C350" s="3">
        <f t="shared" si="43"/>
        <v>285.71428571428572</v>
      </c>
      <c r="D350" s="3">
        <f t="shared" si="49"/>
        <v>150.4761904761875</v>
      </c>
      <c r="E350" s="3">
        <f t="shared" si="50"/>
        <v>436.19047619047319</v>
      </c>
      <c r="F350" s="3"/>
      <c r="G350">
        <v>342</v>
      </c>
      <c r="H350" s="3">
        <f t="shared" si="44"/>
        <v>51708.037367428275</v>
      </c>
      <c r="I350" s="13">
        <f t="shared" si="45"/>
        <v>852.31305474553244</v>
      </c>
      <c r="J350" s="3">
        <f t="shared" si="46"/>
        <v>348.08179087532324</v>
      </c>
      <c r="K350" s="13">
        <f t="shared" si="47"/>
        <v>504.2312638702092</v>
      </c>
    </row>
    <row r="351" spans="1:11" x14ac:dyDescent="0.3">
      <c r="A351">
        <v>343</v>
      </c>
      <c r="B351" s="3">
        <f t="shared" si="48"/>
        <v>21999.999999999549</v>
      </c>
      <c r="C351" s="3">
        <f t="shared" si="43"/>
        <v>285.71428571428572</v>
      </c>
      <c r="D351" s="3">
        <f t="shared" si="49"/>
        <v>148.57142857142557</v>
      </c>
      <c r="E351" s="3">
        <f t="shared" si="50"/>
        <v>434.28571428571126</v>
      </c>
      <c r="F351" s="3"/>
      <c r="G351">
        <v>343</v>
      </c>
      <c r="H351" s="3">
        <f t="shared" si="44"/>
        <v>51200.444561798933</v>
      </c>
      <c r="I351" s="13">
        <f t="shared" si="45"/>
        <v>852.31305474553244</v>
      </c>
      <c r="J351" s="3">
        <f t="shared" si="46"/>
        <v>344.72024911618854</v>
      </c>
      <c r="K351" s="13">
        <f t="shared" si="47"/>
        <v>507.5928056293439</v>
      </c>
    </row>
    <row r="352" spans="1:11" x14ac:dyDescent="0.3">
      <c r="A352">
        <v>344</v>
      </c>
      <c r="B352" s="3">
        <f t="shared" si="48"/>
        <v>21714.285714285263</v>
      </c>
      <c r="C352" s="3">
        <f t="shared" si="43"/>
        <v>285.71428571428572</v>
      </c>
      <c r="D352" s="3">
        <f t="shared" si="49"/>
        <v>146.66666666666367</v>
      </c>
      <c r="E352" s="3">
        <f t="shared" si="50"/>
        <v>432.3809523809494</v>
      </c>
      <c r="F352" s="3"/>
      <c r="G352">
        <v>344</v>
      </c>
      <c r="H352" s="3">
        <f t="shared" si="44"/>
        <v>50689.467804132059</v>
      </c>
      <c r="I352" s="13">
        <f t="shared" si="45"/>
        <v>852.31305474553244</v>
      </c>
      <c r="J352" s="3">
        <f t="shared" si="46"/>
        <v>341.33629707865958</v>
      </c>
      <c r="K352" s="13">
        <f t="shared" si="47"/>
        <v>510.97675766687286</v>
      </c>
    </row>
    <row r="353" spans="1:11" x14ac:dyDescent="0.3">
      <c r="A353">
        <v>345</v>
      </c>
      <c r="B353" s="3">
        <f t="shared" si="48"/>
        <v>21428.571428570976</v>
      </c>
      <c r="C353" s="3">
        <f t="shared" si="43"/>
        <v>285.71428571428572</v>
      </c>
      <c r="D353" s="3">
        <f t="shared" si="49"/>
        <v>144.76190476190175</v>
      </c>
      <c r="E353" s="3">
        <f t="shared" si="50"/>
        <v>430.47619047618747</v>
      </c>
      <c r="F353" s="3"/>
      <c r="G353">
        <v>345</v>
      </c>
      <c r="H353" s="3">
        <f t="shared" si="44"/>
        <v>50175.08453474741</v>
      </c>
      <c r="I353" s="13">
        <f t="shared" si="45"/>
        <v>852.31305474553244</v>
      </c>
      <c r="J353" s="3">
        <f t="shared" si="46"/>
        <v>337.92978536088043</v>
      </c>
      <c r="K353" s="13">
        <f t="shared" si="47"/>
        <v>514.38326938465207</v>
      </c>
    </row>
    <row r="354" spans="1:11" x14ac:dyDescent="0.3">
      <c r="A354">
        <v>346</v>
      </c>
      <c r="B354" s="3">
        <f t="shared" si="48"/>
        <v>21142.85714285669</v>
      </c>
      <c r="C354" s="3">
        <f t="shared" si="43"/>
        <v>285.71428571428572</v>
      </c>
      <c r="D354" s="3">
        <f t="shared" si="49"/>
        <v>142.85714285713985</v>
      </c>
      <c r="E354" s="3">
        <f t="shared" si="50"/>
        <v>428.5714285714256</v>
      </c>
      <c r="F354" s="3"/>
      <c r="G354">
        <v>346</v>
      </c>
      <c r="H354" s="3">
        <f t="shared" si="44"/>
        <v>49657.27204356686</v>
      </c>
      <c r="I354" s="13">
        <f t="shared" si="45"/>
        <v>852.31305474553244</v>
      </c>
      <c r="J354" s="3">
        <f t="shared" si="46"/>
        <v>334.50056356498277</v>
      </c>
      <c r="K354" s="13">
        <f t="shared" si="47"/>
        <v>517.81249118054961</v>
      </c>
    </row>
    <row r="355" spans="1:11" x14ac:dyDescent="0.3">
      <c r="A355">
        <v>347</v>
      </c>
      <c r="B355" s="3">
        <f t="shared" si="48"/>
        <v>20857.142857142404</v>
      </c>
      <c r="C355" s="3">
        <f t="shared" si="43"/>
        <v>285.71428571428572</v>
      </c>
      <c r="D355" s="3">
        <f t="shared" si="49"/>
        <v>140.95238095237795</v>
      </c>
      <c r="E355" s="3">
        <f t="shared" si="50"/>
        <v>426.66666666666367</v>
      </c>
      <c r="F355" s="3"/>
      <c r="G355">
        <v>347</v>
      </c>
      <c r="H355" s="3">
        <f t="shared" si="44"/>
        <v>49136.00746911177</v>
      </c>
      <c r="I355" s="13">
        <f t="shared" si="45"/>
        <v>852.31305474553244</v>
      </c>
      <c r="J355" s="3">
        <f t="shared" si="46"/>
        <v>331.04848029044575</v>
      </c>
      <c r="K355" s="13">
        <f t="shared" si="47"/>
        <v>521.26457445508663</v>
      </c>
    </row>
    <row r="356" spans="1:11" x14ac:dyDescent="0.3">
      <c r="A356">
        <v>348</v>
      </c>
      <c r="B356" s="3">
        <f t="shared" si="48"/>
        <v>20571.428571428118</v>
      </c>
      <c r="C356" s="3">
        <f t="shared" si="43"/>
        <v>285.71428571428572</v>
      </c>
      <c r="D356" s="3">
        <f t="shared" si="49"/>
        <v>139.04761904761602</v>
      </c>
      <c r="E356" s="3">
        <f t="shared" si="50"/>
        <v>424.76190476190175</v>
      </c>
      <c r="F356" s="3"/>
      <c r="G356">
        <v>348</v>
      </c>
      <c r="H356" s="3">
        <f t="shared" si="44"/>
        <v>48611.267797493652</v>
      </c>
      <c r="I356" s="13">
        <f t="shared" si="45"/>
        <v>852.31305474553244</v>
      </c>
      <c r="J356" s="3">
        <f t="shared" si="46"/>
        <v>327.57338312741183</v>
      </c>
      <c r="K356" s="13">
        <f t="shared" si="47"/>
        <v>524.73967161812061</v>
      </c>
    </row>
    <row r="357" spans="1:11" x14ac:dyDescent="0.3">
      <c r="A357">
        <v>349</v>
      </c>
      <c r="B357" s="3">
        <f t="shared" si="48"/>
        <v>20285.714285713831</v>
      </c>
      <c r="C357" s="3">
        <f t="shared" si="43"/>
        <v>285.71428571428572</v>
      </c>
      <c r="D357" s="3">
        <f t="shared" si="49"/>
        <v>137.14285714285413</v>
      </c>
      <c r="E357" s="3">
        <f t="shared" si="50"/>
        <v>422.85714285713982</v>
      </c>
      <c r="F357" s="3"/>
      <c r="G357">
        <v>349</v>
      </c>
      <c r="H357" s="3">
        <f t="shared" si="44"/>
        <v>48083.029861398078</v>
      </c>
      <c r="I357" s="13">
        <f t="shared" si="45"/>
        <v>852.31305474553244</v>
      </c>
      <c r="J357" s="3">
        <f t="shared" si="46"/>
        <v>324.07511864995769</v>
      </c>
      <c r="K357" s="13">
        <f t="shared" si="47"/>
        <v>528.2379360955747</v>
      </c>
    </row>
    <row r="358" spans="1:11" x14ac:dyDescent="0.3">
      <c r="A358">
        <v>350</v>
      </c>
      <c r="B358" s="3">
        <f t="shared" si="48"/>
        <v>19999.999999999545</v>
      </c>
      <c r="C358" s="3">
        <f t="shared" si="43"/>
        <v>285.71428571428572</v>
      </c>
      <c r="D358" s="3">
        <f t="shared" si="49"/>
        <v>135.23809523809223</v>
      </c>
      <c r="E358" s="3">
        <f t="shared" si="50"/>
        <v>420.95238095237795</v>
      </c>
      <c r="F358" s="3"/>
      <c r="G358">
        <v>350</v>
      </c>
      <c r="H358" s="3">
        <f t="shared" si="44"/>
        <v>47551.270339061863</v>
      </c>
      <c r="I358" s="13">
        <f t="shared" si="45"/>
        <v>852.31305474553244</v>
      </c>
      <c r="J358" s="3">
        <f t="shared" si="46"/>
        <v>320.55353240932055</v>
      </c>
      <c r="K358" s="13">
        <f t="shared" si="47"/>
        <v>531.75952233621183</v>
      </c>
    </row>
    <row r="359" spans="1:11" x14ac:dyDescent="0.3">
      <c r="A359">
        <v>351</v>
      </c>
      <c r="B359" s="3">
        <f t="shared" si="48"/>
        <v>19714.285714285259</v>
      </c>
      <c r="C359" s="3">
        <f t="shared" si="43"/>
        <v>285.71428571428572</v>
      </c>
      <c r="D359" s="3">
        <f t="shared" si="49"/>
        <v>133.3333333333303</v>
      </c>
      <c r="E359" s="3">
        <f t="shared" si="50"/>
        <v>419.04761904761602</v>
      </c>
      <c r="F359" s="3"/>
      <c r="G359">
        <v>351</v>
      </c>
      <c r="H359" s="3">
        <f t="shared" si="44"/>
        <v>47015.965753243407</v>
      </c>
      <c r="I359" s="13">
        <f t="shared" si="45"/>
        <v>852.31305474553244</v>
      </c>
      <c r="J359" s="3">
        <f t="shared" si="46"/>
        <v>317.00846892707909</v>
      </c>
      <c r="K359" s="13">
        <f t="shared" si="47"/>
        <v>535.30458581845335</v>
      </c>
    </row>
    <row r="360" spans="1:11" x14ac:dyDescent="0.3">
      <c r="A360">
        <v>352</v>
      </c>
      <c r="B360" s="3">
        <f t="shared" si="48"/>
        <v>19428.571428570973</v>
      </c>
      <c r="C360" s="3">
        <f t="shared" si="43"/>
        <v>285.71428571428572</v>
      </c>
      <c r="D360" s="3">
        <f t="shared" si="49"/>
        <v>131.4285714285684</v>
      </c>
      <c r="E360" s="3">
        <f t="shared" si="50"/>
        <v>417.14285714285415</v>
      </c>
      <c r="F360" s="3"/>
      <c r="G360">
        <v>352</v>
      </c>
      <c r="H360" s="3">
        <f t="shared" si="44"/>
        <v>46477.092470186166</v>
      </c>
      <c r="I360" s="13">
        <f t="shared" si="45"/>
        <v>852.31305474553244</v>
      </c>
      <c r="J360" s="3">
        <f t="shared" si="46"/>
        <v>313.4397716882894</v>
      </c>
      <c r="K360" s="13">
        <f t="shared" si="47"/>
        <v>538.87328305724304</v>
      </c>
    </row>
    <row r="361" spans="1:11" x14ac:dyDescent="0.3">
      <c r="A361">
        <v>353</v>
      </c>
      <c r="B361" s="3">
        <f t="shared" si="48"/>
        <v>19142.857142856687</v>
      </c>
      <c r="C361" s="3">
        <f t="shared" si="43"/>
        <v>285.71428571428572</v>
      </c>
      <c r="D361" s="3">
        <f t="shared" si="49"/>
        <v>129.52380952380651</v>
      </c>
      <c r="E361" s="3">
        <f t="shared" si="50"/>
        <v>415.23809523809223</v>
      </c>
      <c r="F361" s="3"/>
      <c r="G361">
        <v>353</v>
      </c>
      <c r="H361" s="3">
        <f t="shared" si="44"/>
        <v>45934.626698575208</v>
      </c>
      <c r="I361" s="13">
        <f t="shared" si="45"/>
        <v>852.31305474553244</v>
      </c>
      <c r="J361" s="3">
        <f t="shared" si="46"/>
        <v>309.84728313457447</v>
      </c>
      <c r="K361" s="13">
        <f t="shared" si="47"/>
        <v>542.46577161095797</v>
      </c>
    </row>
    <row r="362" spans="1:11" x14ac:dyDescent="0.3">
      <c r="A362">
        <v>354</v>
      </c>
      <c r="B362" s="3">
        <f t="shared" si="48"/>
        <v>18857.1428571424</v>
      </c>
      <c r="C362" s="3">
        <f t="shared" si="43"/>
        <v>285.71428571428572</v>
      </c>
      <c r="D362" s="3">
        <f t="shared" si="49"/>
        <v>127.61904761904458</v>
      </c>
      <c r="E362" s="3">
        <f t="shared" si="50"/>
        <v>413.3333333333303</v>
      </c>
      <c r="F362" s="3"/>
      <c r="G362">
        <v>354</v>
      </c>
      <c r="H362" s="3">
        <f t="shared" si="44"/>
        <v>45388.544488486841</v>
      </c>
      <c r="I362" s="13">
        <f t="shared" si="45"/>
        <v>852.31305474553244</v>
      </c>
      <c r="J362" s="3">
        <f t="shared" si="46"/>
        <v>306.23084465716806</v>
      </c>
      <c r="K362" s="13">
        <f t="shared" si="47"/>
        <v>546.08221008836438</v>
      </c>
    </row>
    <row r="363" spans="1:11" x14ac:dyDescent="0.3">
      <c r="A363">
        <v>355</v>
      </c>
      <c r="B363" s="3">
        <f t="shared" si="48"/>
        <v>18571.428571428114</v>
      </c>
      <c r="C363" s="3">
        <f t="shared" si="43"/>
        <v>285.71428571428572</v>
      </c>
      <c r="D363" s="3">
        <f t="shared" si="49"/>
        <v>125.71428571428268</v>
      </c>
      <c r="E363" s="3">
        <f t="shared" si="50"/>
        <v>411.42857142856838</v>
      </c>
      <c r="F363" s="3"/>
      <c r="G363">
        <v>355</v>
      </c>
      <c r="H363" s="3">
        <f t="shared" si="44"/>
        <v>44838.821730331219</v>
      </c>
      <c r="I363" s="13">
        <f t="shared" si="45"/>
        <v>852.31305474553244</v>
      </c>
      <c r="J363" s="3">
        <f t="shared" si="46"/>
        <v>302.59029658991227</v>
      </c>
      <c r="K363" s="13">
        <f t="shared" si="47"/>
        <v>549.72275815562011</v>
      </c>
    </row>
    <row r="364" spans="1:11" x14ac:dyDescent="0.3">
      <c r="A364">
        <v>356</v>
      </c>
      <c r="B364" s="3">
        <f t="shared" si="48"/>
        <v>18285.714285713828</v>
      </c>
      <c r="C364" s="3">
        <f t="shared" si="43"/>
        <v>285.71428571428572</v>
      </c>
      <c r="D364" s="3">
        <f t="shared" si="49"/>
        <v>123.80952380952077</v>
      </c>
      <c r="E364" s="3">
        <f t="shared" si="50"/>
        <v>409.52380952380651</v>
      </c>
      <c r="F364" s="3"/>
      <c r="G364">
        <v>356</v>
      </c>
      <c r="H364" s="3">
        <f t="shared" si="44"/>
        <v>44285.434153787894</v>
      </c>
      <c r="I364" s="13">
        <f t="shared" si="45"/>
        <v>852.31305474553244</v>
      </c>
      <c r="J364" s="3">
        <f t="shared" si="46"/>
        <v>298.92547820220813</v>
      </c>
      <c r="K364" s="13">
        <f t="shared" si="47"/>
        <v>553.38757654332426</v>
      </c>
    </row>
    <row r="365" spans="1:11" x14ac:dyDescent="0.3">
      <c r="A365">
        <v>357</v>
      </c>
      <c r="B365" s="3">
        <f t="shared" si="48"/>
        <v>17999.999999999542</v>
      </c>
      <c r="C365" s="3">
        <f t="shared" si="43"/>
        <v>285.71428571428572</v>
      </c>
      <c r="D365" s="3">
        <f t="shared" si="49"/>
        <v>121.90476190475886</v>
      </c>
      <c r="E365" s="3">
        <f t="shared" si="50"/>
        <v>407.61904761904458</v>
      </c>
      <c r="F365" s="3"/>
      <c r="G365">
        <v>357</v>
      </c>
      <c r="H365" s="3">
        <f t="shared" si="44"/>
        <v>43728.35732673428</v>
      </c>
      <c r="I365" s="13">
        <f t="shared" si="45"/>
        <v>852.31305474553244</v>
      </c>
      <c r="J365" s="3">
        <f t="shared" si="46"/>
        <v>295.23622769191928</v>
      </c>
      <c r="K365" s="13">
        <f t="shared" si="47"/>
        <v>557.07682705361321</v>
      </c>
    </row>
    <row r="366" spans="1:11" x14ac:dyDescent="0.3">
      <c r="A366">
        <v>358</v>
      </c>
      <c r="B366" s="3">
        <f t="shared" si="48"/>
        <v>17714.285714285255</v>
      </c>
      <c r="C366" s="3">
        <f t="shared" si="43"/>
        <v>285.71428571428572</v>
      </c>
      <c r="D366" s="3">
        <f t="shared" si="49"/>
        <v>119.99999999999696</v>
      </c>
      <c r="E366" s="3">
        <f t="shared" si="50"/>
        <v>405.71428571428271</v>
      </c>
      <c r="F366" s="3"/>
      <c r="G366">
        <v>358</v>
      </c>
      <c r="H366" s="3">
        <f t="shared" si="44"/>
        <v>43167.566654166978</v>
      </c>
      <c r="I366" s="13">
        <f t="shared" si="45"/>
        <v>852.31305474553244</v>
      </c>
      <c r="J366" s="3">
        <f t="shared" si="46"/>
        <v>291.52238217822855</v>
      </c>
      <c r="K366" s="13">
        <f t="shared" si="47"/>
        <v>560.79067256730389</v>
      </c>
    </row>
    <row r="367" spans="1:11" x14ac:dyDescent="0.3">
      <c r="A367">
        <v>359</v>
      </c>
      <c r="B367" s="3">
        <f t="shared" si="48"/>
        <v>17428.571428570969</v>
      </c>
      <c r="C367" s="3">
        <f t="shared" si="43"/>
        <v>285.71428571428572</v>
      </c>
      <c r="D367" s="3">
        <f t="shared" si="49"/>
        <v>118.09523809523505</v>
      </c>
      <c r="E367" s="3">
        <f t="shared" si="50"/>
        <v>403.80952380952078</v>
      </c>
      <c r="F367" s="3"/>
      <c r="G367">
        <v>359</v>
      </c>
      <c r="H367" s="3">
        <f t="shared" si="44"/>
        <v>42603.037377115892</v>
      </c>
      <c r="I367" s="13">
        <f t="shared" si="45"/>
        <v>852.31305474553244</v>
      </c>
      <c r="J367" s="3">
        <f t="shared" si="46"/>
        <v>287.78377769444654</v>
      </c>
      <c r="K367" s="13">
        <f t="shared" si="47"/>
        <v>564.52927705108596</v>
      </c>
    </row>
    <row r="368" spans="1:11" x14ac:dyDescent="0.3">
      <c r="A368">
        <v>360</v>
      </c>
      <c r="B368" s="3">
        <f t="shared" si="48"/>
        <v>17142.857142856683</v>
      </c>
      <c r="C368" s="3">
        <f t="shared" si="43"/>
        <v>285.71428571428572</v>
      </c>
      <c r="D368" s="3">
        <f t="shared" si="49"/>
        <v>116.19047619047313</v>
      </c>
      <c r="E368" s="3">
        <f t="shared" si="50"/>
        <v>401.90476190475886</v>
      </c>
      <c r="F368" s="3"/>
      <c r="G368">
        <v>360</v>
      </c>
      <c r="H368" s="3">
        <f t="shared" si="44"/>
        <v>42034.744571551135</v>
      </c>
      <c r="I368" s="13">
        <f t="shared" si="45"/>
        <v>852.31305474553244</v>
      </c>
      <c r="J368" s="3">
        <f t="shared" si="46"/>
        <v>284.02024918077262</v>
      </c>
      <c r="K368" s="13">
        <f t="shared" si="47"/>
        <v>568.29280556475987</v>
      </c>
    </row>
    <row r="369" spans="1:11" x14ac:dyDescent="0.3">
      <c r="A369">
        <v>361</v>
      </c>
      <c r="B369" s="3">
        <f t="shared" si="48"/>
        <v>16857.142857142397</v>
      </c>
      <c r="C369" s="3">
        <f t="shared" si="43"/>
        <v>285.71428571428572</v>
      </c>
      <c r="D369" s="3">
        <f t="shared" si="49"/>
        <v>114.28571428571122</v>
      </c>
      <c r="E369" s="3">
        <f t="shared" si="50"/>
        <v>399.99999999999693</v>
      </c>
      <c r="F369" s="3"/>
      <c r="G369">
        <v>361</v>
      </c>
      <c r="H369" s="3">
        <f t="shared" si="44"/>
        <v>41462.663147282612</v>
      </c>
      <c r="I369" s="13">
        <f t="shared" si="45"/>
        <v>852.31305474553244</v>
      </c>
      <c r="J369" s="3">
        <f t="shared" si="46"/>
        <v>280.23163047700757</v>
      </c>
      <c r="K369" s="13">
        <f t="shared" si="47"/>
        <v>572.08142426852487</v>
      </c>
    </row>
    <row r="370" spans="1:11" x14ac:dyDescent="0.3">
      <c r="A370">
        <v>362</v>
      </c>
      <c r="B370" s="3">
        <f t="shared" si="48"/>
        <v>16571.42857142811</v>
      </c>
      <c r="C370" s="3">
        <f t="shared" si="43"/>
        <v>285.71428571428572</v>
      </c>
      <c r="D370" s="3">
        <f t="shared" si="49"/>
        <v>112.38095238094932</v>
      </c>
      <c r="E370" s="3">
        <f t="shared" si="50"/>
        <v>398.09523809523506</v>
      </c>
      <c r="F370" s="3"/>
      <c r="G370">
        <v>362</v>
      </c>
      <c r="H370" s="3">
        <f t="shared" si="44"/>
        <v>40886.767846852294</v>
      </c>
      <c r="I370" s="13">
        <f t="shared" si="45"/>
        <v>852.31305474553244</v>
      </c>
      <c r="J370" s="3">
        <f t="shared" si="46"/>
        <v>276.41775431521745</v>
      </c>
      <c r="K370" s="13">
        <f t="shared" si="47"/>
        <v>575.89530043031505</v>
      </c>
    </row>
    <row r="371" spans="1:11" x14ac:dyDescent="0.3">
      <c r="A371">
        <v>363</v>
      </c>
      <c r="B371" s="3">
        <f t="shared" si="48"/>
        <v>16285.714285713824</v>
      </c>
      <c r="C371" s="3">
        <f t="shared" si="43"/>
        <v>285.71428571428572</v>
      </c>
      <c r="D371" s="3">
        <f t="shared" si="49"/>
        <v>110.47619047618741</v>
      </c>
      <c r="E371" s="3">
        <f t="shared" si="50"/>
        <v>396.19047619047313</v>
      </c>
      <c r="F371" s="3"/>
      <c r="G371">
        <v>363</v>
      </c>
      <c r="H371" s="3">
        <f t="shared" si="44"/>
        <v>40307.033244419108</v>
      </c>
      <c r="I371" s="13">
        <f t="shared" si="45"/>
        <v>852.31305474553244</v>
      </c>
      <c r="J371" s="3">
        <f t="shared" si="46"/>
        <v>272.57845231234865</v>
      </c>
      <c r="K371" s="13">
        <f t="shared" si="47"/>
        <v>579.7346024331838</v>
      </c>
    </row>
    <row r="372" spans="1:11" x14ac:dyDescent="0.3">
      <c r="A372">
        <v>364</v>
      </c>
      <c r="B372" s="3">
        <f t="shared" si="48"/>
        <v>15999.999999999538</v>
      </c>
      <c r="C372" s="3">
        <f t="shared" si="43"/>
        <v>285.71428571428572</v>
      </c>
      <c r="D372" s="3">
        <f t="shared" si="49"/>
        <v>108.5714285714255</v>
      </c>
      <c r="E372" s="3">
        <f t="shared" si="50"/>
        <v>394.28571428571121</v>
      </c>
      <c r="F372" s="3"/>
      <c r="G372">
        <v>364</v>
      </c>
      <c r="H372" s="3">
        <f t="shared" si="44"/>
        <v>39723.433744636372</v>
      </c>
      <c r="I372" s="13">
        <f t="shared" si="45"/>
        <v>852.31305474553244</v>
      </c>
      <c r="J372" s="3">
        <f t="shared" si="46"/>
        <v>268.71355496279409</v>
      </c>
      <c r="K372" s="13">
        <f t="shared" si="47"/>
        <v>583.59949978273835</v>
      </c>
    </row>
    <row r="373" spans="1:11" x14ac:dyDescent="0.3">
      <c r="A373">
        <v>365</v>
      </c>
      <c r="B373" s="3">
        <f t="shared" si="48"/>
        <v>15714.285714285252</v>
      </c>
      <c r="C373" s="3">
        <f t="shared" si="43"/>
        <v>285.71428571428572</v>
      </c>
      <c r="D373" s="3">
        <f t="shared" si="49"/>
        <v>106.66666666666359</v>
      </c>
      <c r="E373" s="3">
        <f t="shared" si="50"/>
        <v>392.38095238094934</v>
      </c>
      <c r="F373" s="3"/>
      <c r="G373">
        <v>365</v>
      </c>
      <c r="H373" s="3">
        <f t="shared" si="44"/>
        <v>39135.943581521751</v>
      </c>
      <c r="I373" s="13">
        <f t="shared" si="45"/>
        <v>852.31305474553244</v>
      </c>
      <c r="J373" s="3">
        <f t="shared" si="46"/>
        <v>264.82289163090917</v>
      </c>
      <c r="K373" s="13">
        <f t="shared" si="47"/>
        <v>587.49016311462333</v>
      </c>
    </row>
    <row r="374" spans="1:11" x14ac:dyDescent="0.3">
      <c r="A374">
        <v>366</v>
      </c>
      <c r="B374" s="3">
        <f t="shared" si="48"/>
        <v>15428.571428570966</v>
      </c>
      <c r="C374" s="3">
        <f t="shared" si="43"/>
        <v>285.71428571428572</v>
      </c>
      <c r="D374" s="3">
        <f t="shared" si="49"/>
        <v>104.76190476190169</v>
      </c>
      <c r="E374" s="3">
        <f t="shared" si="50"/>
        <v>390.47619047618741</v>
      </c>
      <c r="F374" s="3"/>
      <c r="G374">
        <v>366</v>
      </c>
      <c r="H374" s="3">
        <f t="shared" si="44"/>
        <v>38544.536817319698</v>
      </c>
      <c r="I374" s="13">
        <f t="shared" si="45"/>
        <v>852.31305474553244</v>
      </c>
      <c r="J374" s="3">
        <f t="shared" si="46"/>
        <v>260.90629054347835</v>
      </c>
      <c r="K374" s="13">
        <f t="shared" si="47"/>
        <v>591.40676420205409</v>
      </c>
    </row>
    <row r="375" spans="1:11" x14ac:dyDescent="0.3">
      <c r="A375">
        <v>367</v>
      </c>
      <c r="B375" s="3">
        <f t="shared" si="48"/>
        <v>15142.857142856679</v>
      </c>
      <c r="C375" s="3">
        <f t="shared" si="43"/>
        <v>285.71428571428572</v>
      </c>
      <c r="D375" s="3">
        <f t="shared" si="49"/>
        <v>102.85714285713978</v>
      </c>
      <c r="E375" s="3">
        <f t="shared" si="50"/>
        <v>388.57142857142549</v>
      </c>
      <c r="F375" s="3"/>
      <c r="G375">
        <v>367</v>
      </c>
      <c r="H375" s="3">
        <f t="shared" si="44"/>
        <v>37949.187341356301</v>
      </c>
      <c r="I375" s="13">
        <f t="shared" si="45"/>
        <v>852.31305474553244</v>
      </c>
      <c r="J375" s="3">
        <f t="shared" si="46"/>
        <v>256.96357878213132</v>
      </c>
      <c r="K375" s="13">
        <f t="shared" si="47"/>
        <v>595.34947596340112</v>
      </c>
    </row>
    <row r="376" spans="1:11" x14ac:dyDescent="0.3">
      <c r="A376">
        <v>368</v>
      </c>
      <c r="B376" s="3">
        <f t="shared" si="48"/>
        <v>14857.142857142393</v>
      </c>
      <c r="C376" s="3">
        <f t="shared" si="43"/>
        <v>285.71428571428572</v>
      </c>
      <c r="D376" s="3">
        <f t="shared" si="49"/>
        <v>100.95238095237787</v>
      </c>
      <c r="E376" s="3">
        <f t="shared" si="50"/>
        <v>386.66666666666356</v>
      </c>
      <c r="F376" s="3"/>
      <c r="G376">
        <v>368</v>
      </c>
      <c r="H376" s="3">
        <f t="shared" si="44"/>
        <v>37349.868868886479</v>
      </c>
      <c r="I376" s="13">
        <f t="shared" si="45"/>
        <v>852.31305474553244</v>
      </c>
      <c r="J376" s="3">
        <f t="shared" si="46"/>
        <v>252.99458227570869</v>
      </c>
      <c r="K376" s="13">
        <f t="shared" si="47"/>
        <v>599.31847246982375</v>
      </c>
    </row>
    <row r="377" spans="1:11" x14ac:dyDescent="0.3">
      <c r="A377">
        <v>369</v>
      </c>
      <c r="B377" s="3">
        <f t="shared" si="48"/>
        <v>14571.428571428107</v>
      </c>
      <c r="C377" s="3">
        <f t="shared" si="43"/>
        <v>285.71428571428572</v>
      </c>
      <c r="D377" s="3">
        <f t="shared" si="49"/>
        <v>99.047619047615953</v>
      </c>
      <c r="E377" s="3">
        <f t="shared" si="50"/>
        <v>384.76190476190169</v>
      </c>
      <c r="F377" s="3"/>
      <c r="G377">
        <v>369</v>
      </c>
      <c r="H377" s="3">
        <f t="shared" si="44"/>
        <v>36746.554939933521</v>
      </c>
      <c r="I377" s="13">
        <f t="shared" si="45"/>
        <v>852.31305474553244</v>
      </c>
      <c r="J377" s="3">
        <f t="shared" si="46"/>
        <v>248.99912579257654</v>
      </c>
      <c r="K377" s="13">
        <f t="shared" si="47"/>
        <v>603.31392895295585</v>
      </c>
    </row>
    <row r="378" spans="1:11" x14ac:dyDescent="0.3">
      <c r="A378">
        <v>370</v>
      </c>
      <c r="B378" s="3">
        <f t="shared" si="48"/>
        <v>14285.714285713821</v>
      </c>
      <c r="C378" s="3">
        <f t="shared" si="43"/>
        <v>285.71428571428572</v>
      </c>
      <c r="D378" s="3">
        <f t="shared" si="49"/>
        <v>97.142857142854055</v>
      </c>
      <c r="E378" s="3">
        <f t="shared" si="50"/>
        <v>382.85714285713976</v>
      </c>
      <c r="F378" s="3"/>
      <c r="G378">
        <v>370</v>
      </c>
      <c r="H378" s="3">
        <f t="shared" si="44"/>
        <v>36139.218918120881</v>
      </c>
      <c r="I378" s="13">
        <f t="shared" si="45"/>
        <v>852.31305474553244</v>
      </c>
      <c r="J378" s="3">
        <f t="shared" si="46"/>
        <v>244.97703293289015</v>
      </c>
      <c r="K378" s="13">
        <f t="shared" si="47"/>
        <v>607.33602181264223</v>
      </c>
    </row>
    <row r="379" spans="1:11" x14ac:dyDescent="0.3">
      <c r="A379">
        <v>371</v>
      </c>
      <c r="B379" s="3">
        <f t="shared" si="48"/>
        <v>13999.999999999534</v>
      </c>
      <c r="C379" s="3">
        <f t="shared" si="43"/>
        <v>285.71428571428572</v>
      </c>
      <c r="D379" s="3">
        <f t="shared" si="49"/>
        <v>95.238095238092143</v>
      </c>
      <c r="E379" s="3">
        <f t="shared" si="50"/>
        <v>380.95238095237789</v>
      </c>
      <c r="F379" s="3"/>
      <c r="G379">
        <v>371</v>
      </c>
      <c r="H379" s="3">
        <f t="shared" si="44"/>
        <v>35527.833989496154</v>
      </c>
      <c r="I379" s="13">
        <f t="shared" si="45"/>
        <v>852.31305474553244</v>
      </c>
      <c r="J379" s="3">
        <f t="shared" si="46"/>
        <v>240.9281261208059</v>
      </c>
      <c r="K379" s="13">
        <f t="shared" si="47"/>
        <v>611.38492862472651</v>
      </c>
    </row>
    <row r="380" spans="1:11" x14ac:dyDescent="0.3">
      <c r="A380">
        <v>372</v>
      </c>
      <c r="B380" s="3">
        <f t="shared" si="48"/>
        <v>13714.285714285248</v>
      </c>
      <c r="C380" s="3">
        <f t="shared" si="43"/>
        <v>285.71428571428572</v>
      </c>
      <c r="D380" s="3">
        <f t="shared" si="49"/>
        <v>93.333333333330231</v>
      </c>
      <c r="E380" s="3">
        <f t="shared" si="50"/>
        <v>379.04761904761597</v>
      </c>
      <c r="F380" s="3"/>
      <c r="G380">
        <v>372</v>
      </c>
      <c r="H380" s="3">
        <f t="shared" si="44"/>
        <v>34912.373161347263</v>
      </c>
      <c r="I380" s="13">
        <f t="shared" si="45"/>
        <v>852.31305474553244</v>
      </c>
      <c r="J380" s="3">
        <f t="shared" si="46"/>
        <v>236.85222659664103</v>
      </c>
      <c r="K380" s="13">
        <f t="shared" si="47"/>
        <v>615.46082814889144</v>
      </c>
    </row>
    <row r="381" spans="1:11" x14ac:dyDescent="0.3">
      <c r="A381">
        <v>373</v>
      </c>
      <c r="B381" s="3">
        <f t="shared" si="48"/>
        <v>13428.571428570962</v>
      </c>
      <c r="C381" s="3">
        <f t="shared" si="43"/>
        <v>285.71428571428572</v>
      </c>
      <c r="D381" s="3">
        <f t="shared" si="49"/>
        <v>91.428571428568333</v>
      </c>
      <c r="E381" s="3">
        <f t="shared" si="50"/>
        <v>377.14285714285404</v>
      </c>
      <c r="F381" s="3"/>
      <c r="G381">
        <v>373</v>
      </c>
      <c r="H381" s="3">
        <f t="shared" si="44"/>
        <v>34292.809261010712</v>
      </c>
      <c r="I381" s="13">
        <f t="shared" si="45"/>
        <v>852.31305474553244</v>
      </c>
      <c r="J381" s="3">
        <f t="shared" si="46"/>
        <v>232.74915440898178</v>
      </c>
      <c r="K381" s="13">
        <f t="shared" si="47"/>
        <v>619.56390033655066</v>
      </c>
    </row>
    <row r="382" spans="1:11" x14ac:dyDescent="0.3">
      <c r="A382">
        <v>374</v>
      </c>
      <c r="B382" s="3">
        <f t="shared" si="48"/>
        <v>13142.857142856676</v>
      </c>
      <c r="C382" s="3">
        <f t="shared" si="43"/>
        <v>285.71428571428572</v>
      </c>
      <c r="D382" s="3">
        <f t="shared" si="49"/>
        <v>89.52380952380642</v>
      </c>
      <c r="E382" s="3">
        <f t="shared" si="50"/>
        <v>375.23809523809211</v>
      </c>
      <c r="F382" s="3"/>
      <c r="G382">
        <v>374</v>
      </c>
      <c r="H382" s="3">
        <f t="shared" si="44"/>
        <v>33669.114934671918</v>
      </c>
      <c r="I382" s="13">
        <f t="shared" si="45"/>
        <v>852.31305474553244</v>
      </c>
      <c r="J382" s="3">
        <f t="shared" si="46"/>
        <v>228.61872840673809</v>
      </c>
      <c r="K382" s="13">
        <f t="shared" si="47"/>
        <v>623.69432633879433</v>
      </c>
    </row>
    <row r="383" spans="1:11" x14ac:dyDescent="0.3">
      <c r="A383">
        <v>375</v>
      </c>
      <c r="B383" s="3">
        <f t="shared" si="48"/>
        <v>12857.142857142389</v>
      </c>
      <c r="C383" s="3">
        <f t="shared" si="43"/>
        <v>285.71428571428572</v>
      </c>
      <c r="D383" s="3">
        <f t="shared" si="49"/>
        <v>87.619047619044508</v>
      </c>
      <c r="E383" s="3">
        <f t="shared" si="50"/>
        <v>373.33333333333024</v>
      </c>
      <c r="F383" s="3"/>
      <c r="G383">
        <v>375</v>
      </c>
      <c r="H383" s="3">
        <f t="shared" si="44"/>
        <v>33041.262646157535</v>
      </c>
      <c r="I383" s="13">
        <f t="shared" si="45"/>
        <v>852.31305474553244</v>
      </c>
      <c r="J383" s="3">
        <f t="shared" si="46"/>
        <v>224.46076623114612</v>
      </c>
      <c r="K383" s="13">
        <f t="shared" si="47"/>
        <v>627.85228851438637</v>
      </c>
    </row>
    <row r="384" spans="1:11" x14ac:dyDescent="0.3">
      <c r="A384">
        <v>376</v>
      </c>
      <c r="B384" s="3">
        <f t="shared" si="48"/>
        <v>12571.428571428103</v>
      </c>
      <c r="C384" s="3">
        <f t="shared" si="43"/>
        <v>285.71428571428572</v>
      </c>
      <c r="D384" s="3">
        <f t="shared" si="49"/>
        <v>85.714285714282596</v>
      </c>
      <c r="E384" s="3">
        <f t="shared" si="50"/>
        <v>371.42857142856832</v>
      </c>
      <c r="F384" s="3"/>
      <c r="G384">
        <v>376</v>
      </c>
      <c r="H384" s="3">
        <f t="shared" si="44"/>
        <v>32409.224675719721</v>
      </c>
      <c r="I384" s="13">
        <f t="shared" si="45"/>
        <v>852.31305474553244</v>
      </c>
      <c r="J384" s="3">
        <f t="shared" si="46"/>
        <v>220.27508430771692</v>
      </c>
      <c r="K384" s="13">
        <f t="shared" si="47"/>
        <v>632.03797043781549</v>
      </c>
    </row>
    <row r="385" spans="1:11" x14ac:dyDescent="0.3">
      <c r="A385">
        <v>377</v>
      </c>
      <c r="B385" s="3">
        <f t="shared" si="48"/>
        <v>12285.714285713817</v>
      </c>
      <c r="C385" s="3">
        <f t="shared" si="43"/>
        <v>285.71428571428572</v>
      </c>
      <c r="D385" s="3">
        <f t="shared" si="49"/>
        <v>83.809523809520698</v>
      </c>
      <c r="E385" s="3">
        <f t="shared" si="50"/>
        <v>369.52380952380645</v>
      </c>
      <c r="F385" s="3"/>
      <c r="G385">
        <v>377</v>
      </c>
      <c r="H385" s="3">
        <f t="shared" si="44"/>
        <v>31772.973118812319</v>
      </c>
      <c r="I385" s="13">
        <f t="shared" si="45"/>
        <v>852.31305474553244</v>
      </c>
      <c r="J385" s="3">
        <f t="shared" si="46"/>
        <v>216.06149783813149</v>
      </c>
      <c r="K385" s="13">
        <f t="shared" si="47"/>
        <v>636.25155690740098</v>
      </c>
    </row>
    <row r="386" spans="1:11" x14ac:dyDescent="0.3">
      <c r="A386">
        <v>378</v>
      </c>
      <c r="B386" s="3">
        <f t="shared" si="48"/>
        <v>11999.999999999531</v>
      </c>
      <c r="C386" s="3">
        <f t="shared" si="43"/>
        <v>285.71428571428572</v>
      </c>
      <c r="D386" s="3">
        <f t="shared" si="49"/>
        <v>81.904761904758786</v>
      </c>
      <c r="E386" s="3">
        <f t="shared" si="50"/>
        <v>367.61904761904452</v>
      </c>
      <c r="F386" s="3"/>
      <c r="G386">
        <v>378</v>
      </c>
      <c r="H386" s="3">
        <f t="shared" si="44"/>
        <v>31132.479884858869</v>
      </c>
      <c r="I386" s="13">
        <f t="shared" si="45"/>
        <v>852.31305474553244</v>
      </c>
      <c r="J386" s="3">
        <f t="shared" si="46"/>
        <v>211.81982079208214</v>
      </c>
      <c r="K386" s="13">
        <f t="shared" si="47"/>
        <v>640.49323395345027</v>
      </c>
    </row>
    <row r="387" spans="1:11" x14ac:dyDescent="0.3">
      <c r="A387">
        <v>379</v>
      </c>
      <c r="B387" s="3">
        <f t="shared" si="48"/>
        <v>11714.285714285244</v>
      </c>
      <c r="C387" s="3">
        <f t="shared" si="43"/>
        <v>285.71428571428572</v>
      </c>
      <c r="D387" s="3">
        <f t="shared" si="49"/>
        <v>79.999999999996874</v>
      </c>
      <c r="E387" s="3">
        <f t="shared" si="50"/>
        <v>365.7142857142826</v>
      </c>
      <c r="F387" s="3"/>
      <c r="G387">
        <v>379</v>
      </c>
      <c r="H387" s="3">
        <f t="shared" si="44"/>
        <v>30487.716696012394</v>
      </c>
      <c r="I387" s="13">
        <f t="shared" si="45"/>
        <v>852.31305474553244</v>
      </c>
      <c r="J387" s="3">
        <f t="shared" si="46"/>
        <v>207.54986589905914</v>
      </c>
      <c r="K387" s="13">
        <f t="shared" si="47"/>
        <v>644.76318884647333</v>
      </c>
    </row>
    <row r="388" spans="1:11" x14ac:dyDescent="0.3">
      <c r="A388">
        <v>380</v>
      </c>
      <c r="B388" s="3">
        <f t="shared" si="48"/>
        <v>11428.571428570958</v>
      </c>
      <c r="C388" s="3">
        <f t="shared" si="43"/>
        <v>285.71428571428572</v>
      </c>
      <c r="D388" s="3">
        <f t="shared" si="49"/>
        <v>78.095238095234961</v>
      </c>
      <c r="E388" s="3">
        <f t="shared" si="50"/>
        <v>363.80952380952067</v>
      </c>
      <c r="F388" s="3"/>
      <c r="G388">
        <v>380</v>
      </c>
      <c r="H388" s="3">
        <f t="shared" si="44"/>
        <v>29838.655085906943</v>
      </c>
      <c r="I388" s="13">
        <f t="shared" si="45"/>
        <v>852.31305474553244</v>
      </c>
      <c r="J388" s="3">
        <f t="shared" si="46"/>
        <v>203.25144464008264</v>
      </c>
      <c r="K388" s="13">
        <f t="shared" si="47"/>
        <v>649.06161010544974</v>
      </c>
    </row>
    <row r="389" spans="1:11" x14ac:dyDescent="0.3">
      <c r="A389">
        <v>381</v>
      </c>
      <c r="B389" s="3">
        <f t="shared" si="48"/>
        <v>11142.857142856672</v>
      </c>
      <c r="C389" s="3">
        <f t="shared" si="43"/>
        <v>285.71428571428572</v>
      </c>
      <c r="D389" s="3">
        <f t="shared" si="49"/>
        <v>76.190476190473063</v>
      </c>
      <c r="E389" s="3">
        <f t="shared" si="50"/>
        <v>361.9047619047588</v>
      </c>
      <c r="F389" s="3"/>
      <c r="G389">
        <v>381</v>
      </c>
      <c r="H389" s="3">
        <f t="shared" si="44"/>
        <v>29185.266398400789</v>
      </c>
      <c r="I389" s="13">
        <f t="shared" si="45"/>
        <v>852.31305474553244</v>
      </c>
      <c r="J389" s="3">
        <f t="shared" si="46"/>
        <v>198.92436723937962</v>
      </c>
      <c r="K389" s="13">
        <f t="shared" si="47"/>
        <v>653.38868750615279</v>
      </c>
    </row>
    <row r="390" spans="1:11" x14ac:dyDescent="0.3">
      <c r="A390">
        <v>382</v>
      </c>
      <c r="B390" s="3">
        <f t="shared" si="48"/>
        <v>10857.142857142386</v>
      </c>
      <c r="C390" s="3">
        <f t="shared" si="43"/>
        <v>285.71428571428572</v>
      </c>
      <c r="D390" s="3">
        <f t="shared" si="49"/>
        <v>74.285714285711151</v>
      </c>
      <c r="E390" s="3">
        <f t="shared" si="50"/>
        <v>359.99999999999687</v>
      </c>
      <c r="F390" s="3"/>
      <c r="G390">
        <v>382</v>
      </c>
      <c r="H390" s="3">
        <f t="shared" si="44"/>
        <v>28527.521786311263</v>
      </c>
      <c r="I390" s="13">
        <f t="shared" si="45"/>
        <v>852.31305474553244</v>
      </c>
      <c r="J390" s="3">
        <f t="shared" si="46"/>
        <v>194.56844265600526</v>
      </c>
      <c r="K390" s="13">
        <f t="shared" si="47"/>
        <v>657.74461208952721</v>
      </c>
    </row>
    <row r="391" spans="1:11" x14ac:dyDescent="0.3">
      <c r="A391">
        <v>383</v>
      </c>
      <c r="B391" s="3">
        <f t="shared" si="48"/>
        <v>10571.4285714281</v>
      </c>
      <c r="C391" s="3">
        <f t="shared" si="43"/>
        <v>285.71428571428572</v>
      </c>
      <c r="D391" s="3">
        <f t="shared" si="49"/>
        <v>72.380952380949239</v>
      </c>
      <c r="E391" s="3">
        <f t="shared" si="50"/>
        <v>358.09523809523495</v>
      </c>
      <c r="F391" s="3"/>
      <c r="G391">
        <v>383</v>
      </c>
      <c r="H391" s="3">
        <f t="shared" si="44"/>
        <v>27865.392210141137</v>
      </c>
      <c r="I391" s="13">
        <f t="shared" si="45"/>
        <v>852.31305474553244</v>
      </c>
      <c r="J391" s="3">
        <f t="shared" si="46"/>
        <v>190.18347857540843</v>
      </c>
      <c r="K391" s="13">
        <f t="shared" si="47"/>
        <v>662.12957617012398</v>
      </c>
    </row>
    <row r="392" spans="1:11" x14ac:dyDescent="0.3">
      <c r="A392">
        <v>384</v>
      </c>
      <c r="B392" s="3">
        <f t="shared" si="48"/>
        <v>10285.714285713813</v>
      </c>
      <c r="C392" s="3">
        <f t="shared" si="43"/>
        <v>285.71428571428572</v>
      </c>
      <c r="D392" s="3">
        <f t="shared" si="49"/>
        <v>70.476190476187341</v>
      </c>
      <c r="E392" s="3">
        <f t="shared" si="50"/>
        <v>356.19047619047308</v>
      </c>
      <c r="F392" s="3"/>
      <c r="G392">
        <v>384</v>
      </c>
      <c r="H392" s="3">
        <f t="shared" si="44"/>
        <v>27198.848436796547</v>
      </c>
      <c r="I392" s="13">
        <f t="shared" si="45"/>
        <v>852.31305474553244</v>
      </c>
      <c r="J392" s="3">
        <f t="shared" si="46"/>
        <v>185.76928140094094</v>
      </c>
      <c r="K392" s="13">
        <f t="shared" si="47"/>
        <v>666.5437733445915</v>
      </c>
    </row>
    <row r="393" spans="1:11" x14ac:dyDescent="0.3">
      <c r="A393">
        <v>385</v>
      </c>
      <c r="B393" s="3">
        <f t="shared" si="48"/>
        <v>9999.9999999995271</v>
      </c>
      <c r="C393" s="3">
        <f t="shared" si="43"/>
        <v>285.71428571428572</v>
      </c>
      <c r="D393" s="3">
        <f t="shared" si="49"/>
        <v>68.571428571425429</v>
      </c>
      <c r="E393" s="3">
        <f t="shared" si="50"/>
        <v>354.28571428571115</v>
      </c>
      <c r="F393" s="3"/>
      <c r="G393">
        <v>385</v>
      </c>
      <c r="H393" s="3">
        <f t="shared" si="44"/>
        <v>26527.861038296323</v>
      </c>
      <c r="I393" s="13">
        <f t="shared" si="45"/>
        <v>852.31305474553244</v>
      </c>
      <c r="J393" s="3">
        <f t="shared" si="46"/>
        <v>181.32565624531031</v>
      </c>
      <c r="K393" s="13">
        <f t="shared" si="47"/>
        <v>670.98739850022207</v>
      </c>
    </row>
    <row r="394" spans="1:11" x14ac:dyDescent="0.3">
      <c r="A394">
        <v>386</v>
      </c>
      <c r="B394" s="3">
        <f t="shared" si="48"/>
        <v>9714.2857142852408</v>
      </c>
      <c r="C394" s="3">
        <f t="shared" ref="C394:C428" si="51">$B$2/$B$4</f>
        <v>285.71428571428572</v>
      </c>
      <c r="D394" s="3">
        <f t="shared" si="49"/>
        <v>66.666666666663517</v>
      </c>
      <c r="E394" s="3">
        <f t="shared" si="50"/>
        <v>352.38095238094922</v>
      </c>
      <c r="F394" s="3"/>
      <c r="G394">
        <v>386</v>
      </c>
      <c r="H394" s="3">
        <f t="shared" ref="H394:H428" si="52">H393-K394</f>
        <v>25852.400390472765</v>
      </c>
      <c r="I394" s="13">
        <f t="shared" ref="I394:I428" si="53">PMT($B$3, $B$4, -$B$2)</f>
        <v>852.31305474553244</v>
      </c>
      <c r="J394" s="3">
        <f t="shared" ref="J394:J428" si="54">H393*$B$3</f>
        <v>176.8524069219755</v>
      </c>
      <c r="K394" s="13">
        <f t="shared" ref="K394:K428" si="55">I394-J394</f>
        <v>675.46064782355688</v>
      </c>
    </row>
    <row r="395" spans="1:11" x14ac:dyDescent="0.3">
      <c r="A395">
        <v>387</v>
      </c>
      <c r="B395" s="3">
        <f t="shared" si="48"/>
        <v>9428.5714285709546</v>
      </c>
      <c r="C395" s="3">
        <f t="shared" si="51"/>
        <v>285.71428571428572</v>
      </c>
      <c r="D395" s="3">
        <f t="shared" si="49"/>
        <v>64.761904761901604</v>
      </c>
      <c r="E395" s="3">
        <f t="shared" si="50"/>
        <v>350.4761904761873</v>
      </c>
      <c r="F395" s="3"/>
      <c r="G395">
        <v>387</v>
      </c>
      <c r="H395" s="3">
        <f t="shared" si="52"/>
        <v>25172.436671663716</v>
      </c>
      <c r="I395" s="13">
        <f t="shared" si="53"/>
        <v>852.31305474553244</v>
      </c>
      <c r="J395" s="3">
        <f t="shared" si="54"/>
        <v>172.34933593648512</v>
      </c>
      <c r="K395" s="13">
        <f t="shared" si="55"/>
        <v>679.96371880904735</v>
      </c>
    </row>
    <row r="396" spans="1:11" x14ac:dyDescent="0.3">
      <c r="A396">
        <v>388</v>
      </c>
      <c r="B396" s="3">
        <f t="shared" si="48"/>
        <v>9142.8571428566684</v>
      </c>
      <c r="C396" s="3">
        <f t="shared" si="51"/>
        <v>285.71428571428572</v>
      </c>
      <c r="D396" s="3">
        <f t="shared" si="49"/>
        <v>62.857142857139699</v>
      </c>
      <c r="E396" s="3">
        <f t="shared" si="50"/>
        <v>348.57142857142543</v>
      </c>
      <c r="F396" s="3"/>
      <c r="G396">
        <v>388</v>
      </c>
      <c r="H396" s="3">
        <f t="shared" si="52"/>
        <v>24487.939861395942</v>
      </c>
      <c r="I396" s="13">
        <f t="shared" si="53"/>
        <v>852.31305474553244</v>
      </c>
      <c r="J396" s="3">
        <f t="shared" si="54"/>
        <v>167.81624447775812</v>
      </c>
      <c r="K396" s="13">
        <f t="shared" si="55"/>
        <v>684.49681026777432</v>
      </c>
    </row>
    <row r="397" spans="1:11" x14ac:dyDescent="0.3">
      <c r="A397">
        <v>389</v>
      </c>
      <c r="B397" s="3">
        <f t="shared" si="48"/>
        <v>8857.1428571423821</v>
      </c>
      <c r="C397" s="3">
        <f t="shared" si="51"/>
        <v>285.71428571428572</v>
      </c>
      <c r="D397" s="3">
        <f t="shared" si="49"/>
        <v>60.952380952377794</v>
      </c>
      <c r="E397" s="3">
        <f t="shared" si="50"/>
        <v>346.6666666666635</v>
      </c>
      <c r="F397" s="3"/>
      <c r="G397">
        <v>389</v>
      </c>
      <c r="H397" s="3">
        <f t="shared" si="52"/>
        <v>23798.879739059717</v>
      </c>
      <c r="I397" s="13">
        <f t="shared" si="53"/>
        <v>852.31305474553244</v>
      </c>
      <c r="J397" s="3">
        <f t="shared" si="54"/>
        <v>163.25293240930628</v>
      </c>
      <c r="K397" s="13">
        <f t="shared" si="55"/>
        <v>689.06012233622619</v>
      </c>
    </row>
    <row r="398" spans="1:11" x14ac:dyDescent="0.3">
      <c r="A398">
        <v>390</v>
      </c>
      <c r="B398" s="3">
        <f t="shared" si="48"/>
        <v>8571.4285714280959</v>
      </c>
      <c r="C398" s="3">
        <f t="shared" si="51"/>
        <v>285.71428571428572</v>
      </c>
      <c r="D398" s="3">
        <f t="shared" si="49"/>
        <v>59.047619047615882</v>
      </c>
      <c r="E398" s="3">
        <f t="shared" si="50"/>
        <v>344.76190476190163</v>
      </c>
      <c r="F398" s="3"/>
      <c r="G398">
        <v>390</v>
      </c>
      <c r="H398" s="3">
        <f t="shared" si="52"/>
        <v>23105.225882574581</v>
      </c>
      <c r="I398" s="13">
        <f t="shared" si="53"/>
        <v>852.31305474553244</v>
      </c>
      <c r="J398" s="3">
        <f t="shared" si="54"/>
        <v>158.65919826039811</v>
      </c>
      <c r="K398" s="13">
        <f t="shared" si="55"/>
        <v>693.65385648513438</v>
      </c>
    </row>
    <row r="399" spans="1:11" x14ac:dyDescent="0.3">
      <c r="A399">
        <v>391</v>
      </c>
      <c r="B399" s="3">
        <f t="shared" si="48"/>
        <v>8285.7142857138097</v>
      </c>
      <c r="C399" s="3">
        <f t="shared" si="51"/>
        <v>285.71428571428572</v>
      </c>
      <c r="D399" s="3">
        <f t="shared" si="49"/>
        <v>57.142857142853977</v>
      </c>
      <c r="E399" s="3">
        <f t="shared" si="50"/>
        <v>342.85714285713971</v>
      </c>
      <c r="F399" s="3"/>
      <c r="G399">
        <v>391</v>
      </c>
      <c r="H399" s="3">
        <f t="shared" si="52"/>
        <v>22406.947667046214</v>
      </c>
      <c r="I399" s="13">
        <f t="shared" si="53"/>
        <v>852.31305474553244</v>
      </c>
      <c r="J399" s="3">
        <f t="shared" si="54"/>
        <v>154.03483921716389</v>
      </c>
      <c r="K399" s="13">
        <f t="shared" si="55"/>
        <v>698.27821552836849</v>
      </c>
    </row>
    <row r="400" spans="1:11" x14ac:dyDescent="0.3">
      <c r="A400">
        <v>392</v>
      </c>
      <c r="B400" s="3">
        <f t="shared" si="48"/>
        <v>7999.9999999995243</v>
      </c>
      <c r="C400" s="3">
        <f t="shared" si="51"/>
        <v>285.71428571428572</v>
      </c>
      <c r="D400" s="3">
        <f t="shared" si="49"/>
        <v>55.238095238092065</v>
      </c>
      <c r="E400" s="3">
        <f t="shared" si="50"/>
        <v>340.95238095237778</v>
      </c>
      <c r="F400" s="3"/>
      <c r="G400">
        <v>392</v>
      </c>
      <c r="H400" s="3">
        <f t="shared" si="52"/>
        <v>21704.014263414323</v>
      </c>
      <c r="I400" s="13">
        <f t="shared" si="53"/>
        <v>852.31305474553244</v>
      </c>
      <c r="J400" s="3">
        <f t="shared" si="54"/>
        <v>149.37965111364144</v>
      </c>
      <c r="K400" s="13">
        <f t="shared" si="55"/>
        <v>702.933403631891</v>
      </c>
    </row>
    <row r="401" spans="1:11" x14ac:dyDescent="0.3">
      <c r="A401">
        <v>393</v>
      </c>
      <c r="B401" s="3">
        <f t="shared" ref="B401:B428" si="56">B400-C401</f>
        <v>7714.285714285239</v>
      </c>
      <c r="C401" s="3">
        <f t="shared" si="51"/>
        <v>285.71428571428572</v>
      </c>
      <c r="D401" s="3">
        <f t="shared" ref="D401:D428" si="57">B400*$B$3</f>
        <v>53.333333333330167</v>
      </c>
      <c r="E401" s="3">
        <f t="shared" ref="E401:E428" si="58">D401+C401</f>
        <v>339.04761904761591</v>
      </c>
      <c r="F401" s="3"/>
      <c r="G401">
        <v>393</v>
      </c>
      <c r="H401" s="3">
        <f t="shared" si="52"/>
        <v>20996.394637091551</v>
      </c>
      <c r="I401" s="13">
        <f t="shared" si="53"/>
        <v>852.31305474553244</v>
      </c>
      <c r="J401" s="3">
        <f t="shared" si="54"/>
        <v>144.69342842276217</v>
      </c>
      <c r="K401" s="13">
        <f t="shared" si="55"/>
        <v>707.61962632277027</v>
      </c>
    </row>
    <row r="402" spans="1:11" x14ac:dyDescent="0.3">
      <c r="A402">
        <v>394</v>
      </c>
      <c r="B402" s="3">
        <f t="shared" si="56"/>
        <v>7428.5714285709537</v>
      </c>
      <c r="C402" s="3">
        <f t="shared" si="51"/>
        <v>285.71428571428572</v>
      </c>
      <c r="D402" s="3">
        <f t="shared" si="57"/>
        <v>51.428571428568262</v>
      </c>
      <c r="E402" s="3">
        <f t="shared" si="58"/>
        <v>337.14285714285398</v>
      </c>
      <c r="F402" s="3"/>
      <c r="G402">
        <v>394</v>
      </c>
      <c r="H402" s="3">
        <f t="shared" si="52"/>
        <v>20284.057546593296</v>
      </c>
      <c r="I402" s="13">
        <f t="shared" si="53"/>
        <v>852.31305474553244</v>
      </c>
      <c r="J402" s="3">
        <f t="shared" si="54"/>
        <v>139.97596424727701</v>
      </c>
      <c r="K402" s="13">
        <f t="shared" si="55"/>
        <v>712.33709049825541</v>
      </c>
    </row>
    <row r="403" spans="1:11" x14ac:dyDescent="0.3">
      <c r="A403">
        <v>395</v>
      </c>
      <c r="B403" s="3">
        <f t="shared" si="56"/>
        <v>7142.8571428566684</v>
      </c>
      <c r="C403" s="3">
        <f t="shared" si="51"/>
        <v>285.71428571428572</v>
      </c>
      <c r="D403" s="3">
        <f t="shared" si="57"/>
        <v>49.523809523806364</v>
      </c>
      <c r="E403" s="3">
        <f t="shared" si="58"/>
        <v>335.23809523809211</v>
      </c>
      <c r="F403" s="3"/>
      <c r="G403">
        <v>395</v>
      </c>
      <c r="H403" s="3">
        <f t="shared" si="52"/>
        <v>19566.971542158386</v>
      </c>
      <c r="I403" s="13">
        <f t="shared" si="53"/>
        <v>852.31305474553244</v>
      </c>
      <c r="J403" s="3">
        <f t="shared" si="54"/>
        <v>135.22705031062199</v>
      </c>
      <c r="K403" s="13">
        <f t="shared" si="55"/>
        <v>717.08600443491048</v>
      </c>
    </row>
    <row r="404" spans="1:11" x14ac:dyDescent="0.3">
      <c r="A404">
        <v>396</v>
      </c>
      <c r="B404" s="3">
        <f t="shared" si="56"/>
        <v>6857.142857142383</v>
      </c>
      <c r="C404" s="3">
        <f t="shared" si="51"/>
        <v>285.71428571428572</v>
      </c>
      <c r="D404" s="3">
        <f t="shared" si="57"/>
        <v>47.619047619044458</v>
      </c>
      <c r="E404" s="3">
        <f t="shared" si="58"/>
        <v>333.33333333333019</v>
      </c>
      <c r="F404" s="3"/>
      <c r="G404">
        <v>396</v>
      </c>
      <c r="H404" s="3">
        <f t="shared" si="52"/>
        <v>18845.104964360577</v>
      </c>
      <c r="I404" s="13">
        <f t="shared" si="53"/>
        <v>852.31305474553244</v>
      </c>
      <c r="J404" s="3">
        <f t="shared" si="54"/>
        <v>130.44647694772257</v>
      </c>
      <c r="K404" s="13">
        <f t="shared" si="55"/>
        <v>721.8665777978099</v>
      </c>
    </row>
    <row r="405" spans="1:11" x14ac:dyDescent="0.3">
      <c r="A405">
        <v>397</v>
      </c>
      <c r="B405" s="3">
        <f t="shared" si="56"/>
        <v>6571.4285714280977</v>
      </c>
      <c r="C405" s="3">
        <f t="shared" si="51"/>
        <v>285.71428571428572</v>
      </c>
      <c r="D405" s="3">
        <f t="shared" si="57"/>
        <v>45.714285714282553</v>
      </c>
      <c r="E405" s="3">
        <f t="shared" si="58"/>
        <v>331.42857142856826</v>
      </c>
      <c r="F405" s="3"/>
      <c r="G405">
        <v>397</v>
      </c>
      <c r="H405" s="3">
        <f t="shared" si="52"/>
        <v>18118.425942710783</v>
      </c>
      <c r="I405" s="13">
        <f t="shared" si="53"/>
        <v>852.31305474553244</v>
      </c>
      <c r="J405" s="3">
        <f t="shared" si="54"/>
        <v>125.63403309573718</v>
      </c>
      <c r="K405" s="13">
        <f t="shared" si="55"/>
        <v>726.67902164979523</v>
      </c>
    </row>
    <row r="406" spans="1:11" x14ac:dyDescent="0.3">
      <c r="A406">
        <v>398</v>
      </c>
      <c r="B406" s="3">
        <f t="shared" si="56"/>
        <v>6285.7142857138124</v>
      </c>
      <c r="C406" s="3">
        <f t="shared" si="51"/>
        <v>285.71428571428572</v>
      </c>
      <c r="D406" s="3">
        <f t="shared" si="57"/>
        <v>43.809523809520655</v>
      </c>
      <c r="E406" s="3">
        <f t="shared" si="58"/>
        <v>329.52380952380639</v>
      </c>
      <c r="F406" s="3"/>
      <c r="G406">
        <v>398</v>
      </c>
      <c r="H406" s="3">
        <f t="shared" si="52"/>
        <v>17386.902394249988</v>
      </c>
      <c r="I406" s="13">
        <f t="shared" si="53"/>
        <v>852.31305474553244</v>
      </c>
      <c r="J406" s="3">
        <f t="shared" si="54"/>
        <v>120.78950628473856</v>
      </c>
      <c r="K406" s="13">
        <f t="shared" si="55"/>
        <v>731.5235484607939</v>
      </c>
    </row>
    <row r="407" spans="1:11" x14ac:dyDescent="0.3">
      <c r="A407">
        <v>399</v>
      </c>
      <c r="B407" s="3">
        <f t="shared" si="56"/>
        <v>5999.9999999995271</v>
      </c>
      <c r="C407" s="3">
        <f t="shared" si="51"/>
        <v>285.71428571428572</v>
      </c>
      <c r="D407" s="3">
        <f t="shared" si="57"/>
        <v>41.90476190475875</v>
      </c>
      <c r="E407" s="3">
        <f t="shared" si="58"/>
        <v>327.61904761904447</v>
      </c>
      <c r="F407" s="3"/>
      <c r="G407">
        <v>399</v>
      </c>
      <c r="H407" s="3">
        <f t="shared" si="52"/>
        <v>16650.50202213279</v>
      </c>
      <c r="I407" s="13">
        <f t="shared" si="53"/>
        <v>852.31305474553244</v>
      </c>
      <c r="J407" s="3">
        <f t="shared" si="54"/>
        <v>115.91268262833326</v>
      </c>
      <c r="K407" s="13">
        <f t="shared" si="55"/>
        <v>736.40037211719914</v>
      </c>
    </row>
    <row r="408" spans="1:11" x14ac:dyDescent="0.3">
      <c r="A408">
        <v>400</v>
      </c>
      <c r="B408" s="3">
        <f t="shared" si="56"/>
        <v>5714.2857142852417</v>
      </c>
      <c r="C408" s="3">
        <f t="shared" si="51"/>
        <v>285.71428571428572</v>
      </c>
      <c r="D408" s="3">
        <f t="shared" si="57"/>
        <v>39.999999999996852</v>
      </c>
      <c r="E408" s="3">
        <f t="shared" si="58"/>
        <v>325.7142857142826</v>
      </c>
      <c r="F408" s="3"/>
      <c r="G408">
        <v>400</v>
      </c>
      <c r="H408" s="3">
        <f t="shared" si="52"/>
        <v>15909.192314201477</v>
      </c>
      <c r="I408" s="13">
        <f t="shared" si="53"/>
        <v>852.31305474553244</v>
      </c>
      <c r="J408" s="3">
        <f t="shared" si="54"/>
        <v>111.00334681421862</v>
      </c>
      <c r="K408" s="13">
        <f t="shared" si="55"/>
        <v>741.30970793131382</v>
      </c>
    </row>
    <row r="409" spans="1:11" x14ac:dyDescent="0.3">
      <c r="A409">
        <v>401</v>
      </c>
      <c r="B409" s="3">
        <f t="shared" si="56"/>
        <v>5428.5714285709564</v>
      </c>
      <c r="C409" s="3">
        <f t="shared" si="51"/>
        <v>285.71428571428572</v>
      </c>
      <c r="D409" s="3">
        <f t="shared" si="57"/>
        <v>38.095238095234947</v>
      </c>
      <c r="E409" s="3">
        <f t="shared" si="58"/>
        <v>323.80952380952067</v>
      </c>
      <c r="F409" s="3"/>
      <c r="G409">
        <v>401</v>
      </c>
      <c r="H409" s="3">
        <f t="shared" si="52"/>
        <v>15162.940541550621</v>
      </c>
      <c r="I409" s="13">
        <f t="shared" si="53"/>
        <v>852.31305474553244</v>
      </c>
      <c r="J409" s="3">
        <f t="shared" si="54"/>
        <v>106.06128209467651</v>
      </c>
      <c r="K409" s="13">
        <f t="shared" si="55"/>
        <v>746.25177265085597</v>
      </c>
    </row>
    <row r="410" spans="1:11" x14ac:dyDescent="0.3">
      <c r="A410">
        <v>402</v>
      </c>
      <c r="B410" s="3">
        <f t="shared" si="56"/>
        <v>5142.8571428566711</v>
      </c>
      <c r="C410" s="3">
        <f t="shared" si="51"/>
        <v>285.71428571428572</v>
      </c>
      <c r="D410" s="3">
        <f t="shared" si="57"/>
        <v>36.190476190473042</v>
      </c>
      <c r="E410" s="3">
        <f t="shared" si="58"/>
        <v>321.90476190475874</v>
      </c>
      <c r="F410" s="3"/>
      <c r="G410">
        <v>402</v>
      </c>
      <c r="H410" s="3">
        <f t="shared" si="52"/>
        <v>14411.713757082092</v>
      </c>
      <c r="I410" s="13">
        <f t="shared" si="53"/>
        <v>852.31305474553244</v>
      </c>
      <c r="J410" s="3">
        <f t="shared" si="54"/>
        <v>101.08627027700415</v>
      </c>
      <c r="K410" s="13">
        <f t="shared" si="55"/>
        <v>751.22678446852831</v>
      </c>
    </row>
    <row r="411" spans="1:11" x14ac:dyDescent="0.3">
      <c r="A411">
        <v>403</v>
      </c>
      <c r="B411" s="3">
        <f t="shared" si="56"/>
        <v>4857.1428571423858</v>
      </c>
      <c r="C411" s="3">
        <f t="shared" si="51"/>
        <v>285.71428571428572</v>
      </c>
      <c r="D411" s="3">
        <f t="shared" si="57"/>
        <v>34.285714285711144</v>
      </c>
      <c r="E411" s="3">
        <f t="shared" si="58"/>
        <v>319.99999999999687</v>
      </c>
      <c r="F411" s="3"/>
      <c r="G411">
        <v>403</v>
      </c>
      <c r="H411" s="3">
        <f t="shared" si="52"/>
        <v>13655.478794050441</v>
      </c>
      <c r="I411" s="13">
        <f t="shared" si="53"/>
        <v>852.31305474553244</v>
      </c>
      <c r="J411" s="3">
        <f t="shared" si="54"/>
        <v>96.078091713880625</v>
      </c>
      <c r="K411" s="13">
        <f t="shared" si="55"/>
        <v>756.23496303165177</v>
      </c>
    </row>
    <row r="412" spans="1:11" x14ac:dyDescent="0.3">
      <c r="A412">
        <v>404</v>
      </c>
      <c r="B412" s="3">
        <f t="shared" si="56"/>
        <v>4571.4285714281004</v>
      </c>
      <c r="C412" s="3">
        <f t="shared" si="51"/>
        <v>285.71428571428572</v>
      </c>
      <c r="D412" s="3">
        <f t="shared" si="57"/>
        <v>32.380952380949239</v>
      </c>
      <c r="E412" s="3">
        <f t="shared" si="58"/>
        <v>318.09523809523495</v>
      </c>
      <c r="F412" s="3"/>
      <c r="G412">
        <v>404</v>
      </c>
      <c r="H412" s="3">
        <f t="shared" si="52"/>
        <v>12894.202264598578</v>
      </c>
      <c r="I412" s="13">
        <f t="shared" si="53"/>
        <v>852.31305474553244</v>
      </c>
      <c r="J412" s="3">
        <f t="shared" si="54"/>
        <v>91.036525293669612</v>
      </c>
      <c r="K412" s="13">
        <f t="shared" si="55"/>
        <v>761.27652945186287</v>
      </c>
    </row>
    <row r="413" spans="1:11" x14ac:dyDescent="0.3">
      <c r="A413">
        <v>405</v>
      </c>
      <c r="B413" s="3">
        <f t="shared" si="56"/>
        <v>4285.7142857138151</v>
      </c>
      <c r="C413" s="3">
        <f t="shared" si="51"/>
        <v>285.71428571428572</v>
      </c>
      <c r="D413" s="3">
        <f t="shared" si="57"/>
        <v>30.476190476187337</v>
      </c>
      <c r="E413" s="3">
        <f t="shared" si="58"/>
        <v>316.19047619047308</v>
      </c>
      <c r="F413" s="3"/>
      <c r="G413">
        <v>405</v>
      </c>
      <c r="H413" s="3">
        <f t="shared" si="52"/>
        <v>12127.850558283702</v>
      </c>
      <c r="I413" s="13">
        <f t="shared" si="53"/>
        <v>852.31305474553244</v>
      </c>
      <c r="J413" s="3">
        <f t="shared" si="54"/>
        <v>85.961348430657196</v>
      </c>
      <c r="K413" s="13">
        <f t="shared" si="55"/>
        <v>766.35170631487529</v>
      </c>
    </row>
    <row r="414" spans="1:11" x14ac:dyDescent="0.3">
      <c r="A414">
        <v>406</v>
      </c>
      <c r="B414" s="3">
        <f t="shared" si="56"/>
        <v>3999.9999999995293</v>
      </c>
      <c r="C414" s="3">
        <f t="shared" si="51"/>
        <v>285.71428571428572</v>
      </c>
      <c r="D414" s="3">
        <f t="shared" si="57"/>
        <v>28.571428571425436</v>
      </c>
      <c r="E414" s="3">
        <f t="shared" si="58"/>
        <v>314.28571428571115</v>
      </c>
      <c r="F414" s="3"/>
      <c r="G414">
        <v>406</v>
      </c>
      <c r="H414" s="3">
        <f t="shared" si="52"/>
        <v>11356.389840593394</v>
      </c>
      <c r="I414" s="13">
        <f t="shared" si="53"/>
        <v>852.31305474553244</v>
      </c>
      <c r="J414" s="3">
        <f t="shared" si="54"/>
        <v>80.852337055224694</v>
      </c>
      <c r="K414" s="13">
        <f t="shared" si="55"/>
        <v>771.46071769030777</v>
      </c>
    </row>
    <row r="415" spans="1:11" x14ac:dyDescent="0.3">
      <c r="A415">
        <v>407</v>
      </c>
      <c r="B415" s="3">
        <f t="shared" si="56"/>
        <v>3714.2857142852436</v>
      </c>
      <c r="C415" s="3">
        <f t="shared" si="51"/>
        <v>285.71428571428572</v>
      </c>
      <c r="D415" s="3">
        <f t="shared" si="57"/>
        <v>26.666666666663531</v>
      </c>
      <c r="E415" s="3">
        <f t="shared" si="58"/>
        <v>312.38095238094922</v>
      </c>
      <c r="F415" s="3"/>
      <c r="G415">
        <v>407</v>
      </c>
      <c r="H415" s="3">
        <f t="shared" si="52"/>
        <v>10579.786051451818</v>
      </c>
      <c r="I415" s="13">
        <f t="shared" si="53"/>
        <v>852.31305474553244</v>
      </c>
      <c r="J415" s="3">
        <f t="shared" si="54"/>
        <v>75.70926560395597</v>
      </c>
      <c r="K415" s="13">
        <f t="shared" si="55"/>
        <v>776.6037891415765</v>
      </c>
    </row>
    <row r="416" spans="1:11" x14ac:dyDescent="0.3">
      <c r="A416">
        <v>408</v>
      </c>
      <c r="B416" s="3">
        <f t="shared" si="56"/>
        <v>3428.5714285709578</v>
      </c>
      <c r="C416" s="3">
        <f t="shared" si="51"/>
        <v>285.71428571428572</v>
      </c>
      <c r="D416" s="3">
        <f t="shared" si="57"/>
        <v>24.761904761901626</v>
      </c>
      <c r="E416" s="3">
        <f t="shared" si="58"/>
        <v>310.47619047618736</v>
      </c>
      <c r="F416" s="3"/>
      <c r="G416">
        <v>408</v>
      </c>
      <c r="H416" s="3">
        <f t="shared" si="52"/>
        <v>9798.0049037159642</v>
      </c>
      <c r="I416" s="13">
        <f t="shared" si="53"/>
        <v>852.31305474553244</v>
      </c>
      <c r="J416" s="3">
        <f t="shared" si="54"/>
        <v>70.53190700967879</v>
      </c>
      <c r="K416" s="13">
        <f t="shared" si="55"/>
        <v>781.78114773585366</v>
      </c>
    </row>
    <row r="417" spans="1:11" x14ac:dyDescent="0.3">
      <c r="A417">
        <v>409</v>
      </c>
      <c r="B417" s="3">
        <f t="shared" si="56"/>
        <v>3142.857142856672</v>
      </c>
      <c r="C417" s="3">
        <f t="shared" si="51"/>
        <v>285.71428571428572</v>
      </c>
      <c r="D417" s="3">
        <f t="shared" si="57"/>
        <v>22.857142857139721</v>
      </c>
      <c r="E417" s="3">
        <f t="shared" si="58"/>
        <v>308.57142857142543</v>
      </c>
      <c r="F417" s="3"/>
      <c r="G417">
        <v>409</v>
      </c>
      <c r="H417" s="3">
        <f t="shared" si="52"/>
        <v>9011.0118816618724</v>
      </c>
      <c r="I417" s="13">
        <f t="shared" si="53"/>
        <v>852.31305474553244</v>
      </c>
      <c r="J417" s="3">
        <f t="shared" si="54"/>
        <v>65.320032691439764</v>
      </c>
      <c r="K417" s="13">
        <f t="shared" si="55"/>
        <v>786.99302205409265</v>
      </c>
    </row>
    <row r="418" spans="1:11" x14ac:dyDescent="0.3">
      <c r="A418">
        <v>410</v>
      </c>
      <c r="B418" s="3">
        <f t="shared" si="56"/>
        <v>2857.1428571423862</v>
      </c>
      <c r="C418" s="3">
        <f t="shared" si="51"/>
        <v>285.71428571428572</v>
      </c>
      <c r="D418" s="3">
        <f t="shared" si="57"/>
        <v>20.952380952377816</v>
      </c>
      <c r="E418" s="3">
        <f t="shared" si="58"/>
        <v>306.66666666666356</v>
      </c>
      <c r="F418" s="3"/>
      <c r="G418">
        <v>410</v>
      </c>
      <c r="H418" s="3">
        <f t="shared" si="52"/>
        <v>8218.7722394607517</v>
      </c>
      <c r="I418" s="13">
        <f t="shared" si="53"/>
        <v>852.31305474553244</v>
      </c>
      <c r="J418" s="3">
        <f t="shared" si="54"/>
        <v>60.073412544412484</v>
      </c>
      <c r="K418" s="13">
        <f t="shared" si="55"/>
        <v>792.23964220111998</v>
      </c>
    </row>
    <row r="419" spans="1:11" x14ac:dyDescent="0.3">
      <c r="A419">
        <v>411</v>
      </c>
      <c r="B419" s="3">
        <f t="shared" si="56"/>
        <v>2571.4285714281004</v>
      </c>
      <c r="C419" s="3">
        <f t="shared" si="51"/>
        <v>285.71428571428572</v>
      </c>
      <c r="D419" s="3">
        <f t="shared" si="57"/>
        <v>19.04761904761591</v>
      </c>
      <c r="E419" s="3">
        <f t="shared" si="58"/>
        <v>304.76190476190163</v>
      </c>
      <c r="F419" s="3"/>
      <c r="G419">
        <v>411</v>
      </c>
      <c r="H419" s="3">
        <f t="shared" si="52"/>
        <v>7421.250999644958</v>
      </c>
      <c r="I419" s="13">
        <f t="shared" si="53"/>
        <v>852.31305474553244</v>
      </c>
      <c r="J419" s="3">
        <f t="shared" si="54"/>
        <v>54.791814929738351</v>
      </c>
      <c r="K419" s="13">
        <f t="shared" si="55"/>
        <v>797.52123981579405</v>
      </c>
    </row>
    <row r="420" spans="1:11" x14ac:dyDescent="0.3">
      <c r="A420">
        <v>412</v>
      </c>
      <c r="B420" s="3">
        <f t="shared" si="56"/>
        <v>2285.7142857138147</v>
      </c>
      <c r="C420" s="3">
        <f t="shared" si="51"/>
        <v>285.71428571428572</v>
      </c>
      <c r="D420" s="3">
        <f t="shared" si="57"/>
        <v>17.142857142854005</v>
      </c>
      <c r="E420" s="3">
        <f t="shared" si="58"/>
        <v>302.85714285713971</v>
      </c>
      <c r="F420" s="3"/>
      <c r="G420">
        <v>412</v>
      </c>
      <c r="H420" s="3">
        <f t="shared" si="52"/>
        <v>6618.4129515637251</v>
      </c>
      <c r="I420" s="13">
        <f t="shared" si="53"/>
        <v>852.31305474553244</v>
      </c>
      <c r="J420" s="3">
        <f t="shared" si="54"/>
        <v>49.475006664299727</v>
      </c>
      <c r="K420" s="13">
        <f t="shared" si="55"/>
        <v>802.83804808123273</v>
      </c>
    </row>
    <row r="421" spans="1:11" x14ac:dyDescent="0.3">
      <c r="A421">
        <v>413</v>
      </c>
      <c r="B421" s="3">
        <f t="shared" si="56"/>
        <v>1999.9999999995289</v>
      </c>
      <c r="C421" s="3">
        <f t="shared" si="51"/>
        <v>285.71428571428572</v>
      </c>
      <c r="D421" s="3">
        <f t="shared" si="57"/>
        <v>15.238095238092098</v>
      </c>
      <c r="E421" s="3">
        <f t="shared" si="58"/>
        <v>300.95238095237784</v>
      </c>
      <c r="F421" s="3"/>
      <c r="G421">
        <v>413</v>
      </c>
      <c r="H421" s="3">
        <f t="shared" si="52"/>
        <v>5810.2226498286173</v>
      </c>
      <c r="I421" s="13">
        <f t="shared" si="53"/>
        <v>852.31305474553244</v>
      </c>
      <c r="J421" s="3">
        <f t="shared" si="54"/>
        <v>44.122753010424837</v>
      </c>
      <c r="K421" s="13">
        <f t="shared" si="55"/>
        <v>808.1903017351076</v>
      </c>
    </row>
    <row r="422" spans="1:11" x14ac:dyDescent="0.3">
      <c r="A422">
        <v>414</v>
      </c>
      <c r="B422" s="3">
        <f t="shared" si="56"/>
        <v>1714.2857142852431</v>
      </c>
      <c r="C422" s="3">
        <f t="shared" si="51"/>
        <v>285.71428571428572</v>
      </c>
      <c r="D422" s="3">
        <f t="shared" si="57"/>
        <v>13.333333333330193</v>
      </c>
      <c r="E422" s="3">
        <f t="shared" si="58"/>
        <v>299.04761904761591</v>
      </c>
      <c r="F422" s="3"/>
      <c r="G422">
        <v>414</v>
      </c>
      <c r="H422" s="3">
        <f t="shared" si="52"/>
        <v>4996.6444127486093</v>
      </c>
      <c r="I422" s="13">
        <f t="shared" si="53"/>
        <v>852.31305474553244</v>
      </c>
      <c r="J422" s="3">
        <f t="shared" si="54"/>
        <v>38.734817665524119</v>
      </c>
      <c r="K422" s="13">
        <f t="shared" si="55"/>
        <v>813.57823708000831</v>
      </c>
    </row>
    <row r="423" spans="1:11" x14ac:dyDescent="0.3">
      <c r="A423">
        <v>415</v>
      </c>
      <c r="B423" s="3">
        <f t="shared" si="56"/>
        <v>1428.5714285709573</v>
      </c>
      <c r="C423" s="3">
        <f t="shared" si="51"/>
        <v>285.71428571428572</v>
      </c>
      <c r="D423" s="3">
        <f t="shared" si="57"/>
        <v>11.428571428568288</v>
      </c>
      <c r="E423" s="3">
        <f t="shared" si="58"/>
        <v>297.14285714285398</v>
      </c>
      <c r="F423" s="3"/>
      <c r="G423">
        <v>415</v>
      </c>
      <c r="H423" s="3">
        <f t="shared" si="52"/>
        <v>4177.6423207547341</v>
      </c>
      <c r="I423" s="13">
        <f t="shared" si="53"/>
        <v>852.31305474553244</v>
      </c>
      <c r="J423" s="3">
        <f t="shared" si="54"/>
        <v>33.310962751657399</v>
      </c>
      <c r="K423" s="13">
        <f t="shared" si="55"/>
        <v>819.00209199387507</v>
      </c>
    </row>
    <row r="424" spans="1:11" x14ac:dyDescent="0.3">
      <c r="A424">
        <v>416</v>
      </c>
      <c r="B424" s="3">
        <f t="shared" si="56"/>
        <v>1142.8571428566715</v>
      </c>
      <c r="C424" s="3">
        <f t="shared" si="51"/>
        <v>285.71428571428572</v>
      </c>
      <c r="D424" s="3">
        <f t="shared" si="57"/>
        <v>9.5238095238063831</v>
      </c>
      <c r="E424" s="3">
        <f t="shared" si="58"/>
        <v>295.23809523809211</v>
      </c>
      <c r="F424" s="3"/>
      <c r="G424">
        <v>416</v>
      </c>
      <c r="H424" s="3">
        <f t="shared" si="52"/>
        <v>3353.1802148142333</v>
      </c>
      <c r="I424" s="13">
        <f t="shared" si="53"/>
        <v>852.31305474553244</v>
      </c>
      <c r="J424" s="3">
        <f t="shared" si="54"/>
        <v>27.850948805031564</v>
      </c>
      <c r="K424" s="13">
        <f t="shared" si="55"/>
        <v>824.46210594050092</v>
      </c>
    </row>
    <row r="425" spans="1:11" x14ac:dyDescent="0.3">
      <c r="A425">
        <v>417</v>
      </c>
      <c r="B425" s="3">
        <f t="shared" si="56"/>
        <v>857.14285714238576</v>
      </c>
      <c r="C425" s="3">
        <f t="shared" si="51"/>
        <v>285.71428571428572</v>
      </c>
      <c r="D425" s="3">
        <f t="shared" si="57"/>
        <v>7.6190476190444771</v>
      </c>
      <c r="E425" s="3">
        <f t="shared" si="58"/>
        <v>293.33333333333019</v>
      </c>
      <c r="F425" s="3"/>
      <c r="G425">
        <v>417</v>
      </c>
      <c r="H425" s="3">
        <f t="shared" si="52"/>
        <v>2523.2216948341293</v>
      </c>
      <c r="I425" s="13">
        <f t="shared" si="53"/>
        <v>852.31305474553244</v>
      </c>
      <c r="J425" s="3">
        <f t="shared" si="54"/>
        <v>22.354534765428223</v>
      </c>
      <c r="K425" s="13">
        <f t="shared" si="55"/>
        <v>829.95851998010426</v>
      </c>
    </row>
    <row r="426" spans="1:11" x14ac:dyDescent="0.3">
      <c r="A426">
        <v>418</v>
      </c>
      <c r="B426" s="3">
        <f t="shared" si="56"/>
        <v>571.42857142809999</v>
      </c>
      <c r="C426" s="3">
        <f t="shared" si="51"/>
        <v>285.71428571428572</v>
      </c>
      <c r="D426" s="3">
        <f t="shared" si="57"/>
        <v>5.714285714282572</v>
      </c>
      <c r="E426" s="3">
        <f t="shared" si="58"/>
        <v>291.42857142856832</v>
      </c>
      <c r="F426" s="3"/>
      <c r="G426">
        <v>418</v>
      </c>
      <c r="H426" s="3">
        <f t="shared" si="52"/>
        <v>1687.7301180541576</v>
      </c>
      <c r="I426" s="13">
        <f t="shared" si="53"/>
        <v>852.31305474553244</v>
      </c>
      <c r="J426" s="3">
        <f t="shared" si="54"/>
        <v>16.821477965560863</v>
      </c>
      <c r="K426" s="13">
        <f t="shared" si="55"/>
        <v>835.49157677997152</v>
      </c>
    </row>
    <row r="427" spans="1:11" x14ac:dyDescent="0.3">
      <c r="A427">
        <v>419</v>
      </c>
      <c r="B427" s="3">
        <f t="shared" si="56"/>
        <v>285.71428571381426</v>
      </c>
      <c r="C427" s="3">
        <f t="shared" si="51"/>
        <v>285.71428571428572</v>
      </c>
      <c r="D427" s="3">
        <f t="shared" si="57"/>
        <v>3.8095238095206669</v>
      </c>
      <c r="E427" s="3">
        <f t="shared" si="58"/>
        <v>289.52380952380639</v>
      </c>
      <c r="F427" s="3"/>
      <c r="G427">
        <v>419</v>
      </c>
      <c r="H427" s="3">
        <f t="shared" si="52"/>
        <v>846.66859742898623</v>
      </c>
      <c r="I427" s="13">
        <f t="shared" si="53"/>
        <v>852.31305474553244</v>
      </c>
      <c r="J427" s="3">
        <f t="shared" si="54"/>
        <v>11.251534120361052</v>
      </c>
      <c r="K427" s="13">
        <f t="shared" si="55"/>
        <v>841.0615206251714</v>
      </c>
    </row>
    <row r="428" spans="1:11" x14ac:dyDescent="0.3">
      <c r="A428">
        <v>420</v>
      </c>
      <c r="B428" s="3">
        <f t="shared" si="56"/>
        <v>-4.7145931603154168E-10</v>
      </c>
      <c r="C428" s="3">
        <f t="shared" si="51"/>
        <v>285.71428571428572</v>
      </c>
      <c r="D428" s="3">
        <f t="shared" si="57"/>
        <v>1.9047619047587618</v>
      </c>
      <c r="E428" s="3">
        <f t="shared" si="58"/>
        <v>287.61904761904447</v>
      </c>
      <c r="F428" s="3"/>
      <c r="G428">
        <v>420</v>
      </c>
      <c r="H428" s="3">
        <f t="shared" si="52"/>
        <v>-3.5299763112561777E-10</v>
      </c>
      <c r="I428" s="13">
        <f t="shared" si="53"/>
        <v>852.31305474553244</v>
      </c>
      <c r="J428" s="3">
        <f t="shared" si="54"/>
        <v>5.6444573161932423</v>
      </c>
      <c r="K428" s="13">
        <f t="shared" si="55"/>
        <v>846.66859742933923</v>
      </c>
    </row>
    <row r="429" spans="1:11" x14ac:dyDescent="0.3">
      <c r="B429" s="3"/>
      <c r="C429" s="3"/>
      <c r="D429" s="3"/>
      <c r="E429" s="3"/>
      <c r="F429" s="3"/>
    </row>
    <row r="430" spans="1:11" x14ac:dyDescent="0.3">
      <c r="B430" s="3"/>
      <c r="C430" s="3"/>
      <c r="D430" s="3"/>
      <c r="E430" s="3"/>
      <c r="F430" s="3"/>
    </row>
    <row r="431" spans="1:11" x14ac:dyDescent="0.3">
      <c r="B431" s="3"/>
      <c r="C431" s="3"/>
      <c r="D431" s="3"/>
      <c r="E431" s="3"/>
      <c r="F431" s="3"/>
    </row>
    <row r="432" spans="1:11" x14ac:dyDescent="0.3">
      <c r="B432" s="3"/>
      <c r="C432" s="3"/>
      <c r="D432" s="3"/>
      <c r="E432" s="3"/>
      <c r="F432" s="3"/>
    </row>
  </sheetData>
  <mergeCells count="2">
    <mergeCell ref="G6:K6"/>
    <mergeCell ref="A6:E6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Juros_Compostos</vt:lpstr>
      <vt:lpstr>SAC_PRICE</vt:lpstr>
      <vt:lpstr>SAC_PRICE_SIMULACAO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chatgpt</dc:creator>
  <cp:lastModifiedBy>Wellington Fabio de Oliveira Martins</cp:lastModifiedBy>
  <dcterms:created xsi:type="dcterms:W3CDTF">2026-08-29T14:35:02Z</dcterms:created>
  <dcterms:modified xsi:type="dcterms:W3CDTF">2026-08-31T21:41:40Z</dcterms:modified>
</cp:coreProperties>
</file>