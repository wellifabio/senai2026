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tgpt\Desktop\senai2026\fic\chatgpt\aula05\"/>
    </mc:Choice>
  </mc:AlternateContent>
  <xr:revisionPtr revIDLastSave="0" documentId="8_{2CF8BB73-0FF2-4DF2-8D21-CBC08D915A98}" xr6:coauthVersionLast="47" xr6:coauthVersionMax="47" xr10:uidLastSave="{00000000-0000-0000-0000-000000000000}"/>
  <bookViews>
    <workbookView xWindow="-120" yWindow="-120" windowWidth="29040" windowHeight="15720" xr2:uid="{536D4025-6550-4D85-B0EF-CCA3EE5E2E54}"/>
  </bookViews>
  <sheets>
    <sheet name="Juros Compostos" sheetId="1" r:id="rId1"/>
    <sheet name="SAC PR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9" i="1" s="1"/>
  <c r="E16" i="1"/>
  <c r="G16" i="1"/>
  <c r="H16" i="1" s="1"/>
  <c r="G15" i="1"/>
  <c r="E15" i="1"/>
  <c r="E7" i="1"/>
  <c r="G7" i="1"/>
  <c r="H7" i="1"/>
  <c r="E8" i="1" s="1"/>
  <c r="H6" i="1"/>
  <c r="G6" i="1"/>
  <c r="E6" i="1"/>
  <c r="H5" i="1"/>
  <c r="G5" i="1"/>
  <c r="B15" i="1"/>
  <c r="B16" i="1" s="1"/>
  <c r="H15" i="1" l="1"/>
  <c r="G8" i="1"/>
  <c r="H8" i="1" s="1"/>
  <c r="E9" i="1" s="1"/>
  <c r="G9" i="1" s="1"/>
  <c r="H9" i="1" s="1"/>
  <c r="E10" i="1" s="1"/>
  <c r="G10" i="1" l="1"/>
  <c r="H10" i="1" s="1"/>
  <c r="E11" i="1" s="1"/>
  <c r="G11" i="1" l="1"/>
  <c r="H11" i="1"/>
  <c r="E12" i="1" s="1"/>
  <c r="G12" i="1"/>
  <c r="H12" i="1" s="1"/>
  <c r="E13" i="1" s="1"/>
  <c r="G13" i="1" l="1"/>
  <c r="H13" i="1" s="1"/>
  <c r="E14" i="1" s="1"/>
  <c r="G14" i="1" l="1"/>
  <c r="H14" i="1"/>
</calcChain>
</file>

<file path=xl/sharedStrings.xml><?xml version="1.0" encoding="utf-8"?>
<sst xmlns="http://schemas.openxmlformats.org/spreadsheetml/2006/main" count="29" uniqueCount="20">
  <si>
    <t>M=C.(1+i)^n</t>
  </si>
  <si>
    <t>Valor</t>
  </si>
  <si>
    <t>C</t>
  </si>
  <si>
    <t>i</t>
  </si>
  <si>
    <t>Valor [C]</t>
  </si>
  <si>
    <t>Taxa mensal [i]</t>
  </si>
  <si>
    <t>Total de parcelas [n]</t>
  </si>
  <si>
    <t>n</t>
  </si>
  <si>
    <t>Montante [M]</t>
  </si>
  <si>
    <t>M</t>
  </si>
  <si>
    <t>Valor da parcela</t>
  </si>
  <si>
    <t>Taxa</t>
  </si>
  <si>
    <t>Juros</t>
  </si>
  <si>
    <t>Montante</t>
  </si>
  <si>
    <t>Prova real</t>
  </si>
  <si>
    <t>Mês</t>
  </si>
  <si>
    <t>Exemplo jutos compostos</t>
  </si>
  <si>
    <t>Fórmula juros compostos</t>
  </si>
  <si>
    <t>Exemplo Juros simples</t>
  </si>
  <si>
    <t>Calculando Financiamento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</si>
</sst>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44" fontId="0" fillId="0" borderId="0" xfId="1" applyFont="1"/>
    <xf numFmtId="10" fontId="0" fillId="0" borderId="0" xfId="0" applyNumberFormat="1"/>
    <xf numFmtId="4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44" fontId="1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CC5FF-AD4A-4999-B3C3-4A26AEFFE089}">
  <dimension ref="A1:I17"/>
  <sheetViews>
    <sheetView tabSelected="1" workbookViewId="0">
      <selection activeCell="B12" sqref="B12"/>
    </sheetView>
  </sheetViews>
  <sheetFormatPr defaultRowHeight="15" x14ac:dyDescent="0.25"/>
  <cols>
    <col min="1" max="1" width="24.7109375" bestFit="1" customWidth="1"/>
    <col min="2" max="2" width="13.28515625" bestFit="1" customWidth="1"/>
    <col min="3" max="3" width="2.5703125" bestFit="1" customWidth="1"/>
    <col min="5" max="5" width="13.28515625" bestFit="1" customWidth="1"/>
    <col min="6" max="6" width="6.140625" bestFit="1" customWidth="1"/>
    <col min="7" max="7" width="10.5703125" bestFit="1" customWidth="1"/>
    <col min="8" max="8" width="13.28515625" bestFit="1" customWidth="1"/>
    <col min="9" max="9" width="4.5703125" bestFit="1" customWidth="1"/>
  </cols>
  <sheetData>
    <row r="1" spans="1:9" ht="24" x14ac:dyDescent="0.4">
      <c r="A1" s="5" t="s">
        <v>12</v>
      </c>
    </row>
    <row r="2" spans="1:9" x14ac:dyDescent="0.25">
      <c r="A2" t="s">
        <v>17</v>
      </c>
      <c r="B2" s="4" t="s">
        <v>0</v>
      </c>
    </row>
    <row r="3" spans="1:9" x14ac:dyDescent="0.25">
      <c r="E3" s="4" t="s">
        <v>14</v>
      </c>
    </row>
    <row r="4" spans="1:9" x14ac:dyDescent="0.25">
      <c r="A4" s="4" t="s">
        <v>18</v>
      </c>
      <c r="E4" t="s">
        <v>1</v>
      </c>
      <c r="F4" t="s">
        <v>11</v>
      </c>
      <c r="G4" t="s">
        <v>12</v>
      </c>
      <c r="H4" t="s">
        <v>13</v>
      </c>
      <c r="I4" t="s">
        <v>15</v>
      </c>
    </row>
    <row r="5" spans="1:9" x14ac:dyDescent="0.25">
      <c r="A5" t="s">
        <v>4</v>
      </c>
      <c r="B5" s="1">
        <v>10000</v>
      </c>
      <c r="C5" t="s">
        <v>2</v>
      </c>
      <c r="E5" s="1">
        <v>10000</v>
      </c>
      <c r="F5" s="2">
        <v>1.4999999999999999E-2</v>
      </c>
      <c r="G5" s="3">
        <f>E5*F5</f>
        <v>150</v>
      </c>
      <c r="H5" s="3">
        <f>E5+G5</f>
        <v>10150</v>
      </c>
      <c r="I5">
        <v>1</v>
      </c>
    </row>
    <row r="6" spans="1:9" x14ac:dyDescent="0.25">
      <c r="A6" t="s">
        <v>5</v>
      </c>
      <c r="B6" s="2">
        <v>1.4999999999999999E-2</v>
      </c>
      <c r="C6" t="s">
        <v>3</v>
      </c>
      <c r="E6" s="3">
        <f>H5</f>
        <v>10150</v>
      </c>
      <c r="F6" s="2">
        <v>1.4999999999999999E-2</v>
      </c>
      <c r="G6" s="3">
        <f>E6*F6</f>
        <v>152.25</v>
      </c>
      <c r="H6" s="3">
        <f>E6+G6</f>
        <v>10302.25</v>
      </c>
      <c r="I6">
        <v>2</v>
      </c>
    </row>
    <row r="7" spans="1:9" x14ac:dyDescent="0.25">
      <c r="A7" t="s">
        <v>6</v>
      </c>
      <c r="B7">
        <v>12</v>
      </c>
      <c r="C7" t="s">
        <v>7</v>
      </c>
      <c r="E7" s="3">
        <f t="shared" ref="E7:E14" si="0">H6</f>
        <v>10302.25</v>
      </c>
      <c r="F7" s="2">
        <v>1.4999999999999999E-2</v>
      </c>
      <c r="G7" s="3">
        <f t="shared" ref="G7:G14" si="1">E7*F7</f>
        <v>154.53375</v>
      </c>
      <c r="H7" s="3">
        <f t="shared" ref="H7:H14" si="2">E7+G7</f>
        <v>10456.783750000001</v>
      </c>
      <c r="I7">
        <v>3</v>
      </c>
    </row>
    <row r="8" spans="1:9" x14ac:dyDescent="0.25">
      <c r="A8" t="s">
        <v>13</v>
      </c>
      <c r="B8" s="3">
        <f>B5+B5*B6*B7</f>
        <v>11800</v>
      </c>
      <c r="E8" s="3">
        <f>H7</f>
        <v>10456.783750000001</v>
      </c>
      <c r="F8" s="2">
        <v>1.4999999999999999E-2</v>
      </c>
      <c r="G8" s="3">
        <f t="shared" si="1"/>
        <v>156.85175624999999</v>
      </c>
      <c r="H8" s="3">
        <f t="shared" si="2"/>
        <v>10613.635506250001</v>
      </c>
      <c r="I8">
        <v>4</v>
      </c>
    </row>
    <row r="9" spans="1:9" x14ac:dyDescent="0.25">
      <c r="A9" t="s">
        <v>10</v>
      </c>
      <c r="B9" s="3">
        <f>B8/B7</f>
        <v>983.33333333333337</v>
      </c>
      <c r="E9" s="3">
        <f t="shared" si="0"/>
        <v>10613.635506250001</v>
      </c>
      <c r="F9" s="2">
        <v>1.4999999999999999E-2</v>
      </c>
      <c r="G9" s="3">
        <f t="shared" si="1"/>
        <v>159.20453259375</v>
      </c>
      <c r="H9" s="3">
        <f t="shared" si="2"/>
        <v>10772.840038843751</v>
      </c>
      <c r="I9">
        <v>5</v>
      </c>
    </row>
    <row r="10" spans="1:9" x14ac:dyDescent="0.25">
      <c r="E10" s="3">
        <f t="shared" si="0"/>
        <v>10772.840038843751</v>
      </c>
      <c r="F10" s="2">
        <v>1.4999999999999999E-2</v>
      </c>
      <c r="G10" s="3">
        <f t="shared" si="1"/>
        <v>161.59260058265627</v>
      </c>
      <c r="H10" s="3">
        <f t="shared" si="2"/>
        <v>10934.432639426408</v>
      </c>
      <c r="I10">
        <v>6</v>
      </c>
    </row>
    <row r="11" spans="1:9" x14ac:dyDescent="0.25">
      <c r="A11" s="4" t="s">
        <v>16</v>
      </c>
      <c r="E11" s="3">
        <f t="shared" si="0"/>
        <v>10934.432639426408</v>
      </c>
      <c r="F11" s="2">
        <v>1.4999999999999999E-2</v>
      </c>
      <c r="G11" s="3">
        <f t="shared" si="1"/>
        <v>164.01648959139612</v>
      </c>
      <c r="H11" s="3">
        <f t="shared" si="2"/>
        <v>11098.449129017805</v>
      </c>
      <c r="I11">
        <v>7</v>
      </c>
    </row>
    <row r="12" spans="1:9" x14ac:dyDescent="0.25">
      <c r="A12" t="s">
        <v>4</v>
      </c>
      <c r="B12" s="7">
        <v>10000</v>
      </c>
      <c r="C12" t="s">
        <v>2</v>
      </c>
      <c r="E12" s="3">
        <f t="shared" si="0"/>
        <v>11098.449129017805</v>
      </c>
      <c r="F12" s="2">
        <v>1.4999999999999999E-2</v>
      </c>
      <c r="G12" s="3">
        <f t="shared" si="1"/>
        <v>166.47673693526707</v>
      </c>
      <c r="H12" s="3">
        <f t="shared" si="2"/>
        <v>11264.925865953071</v>
      </c>
      <c r="I12">
        <v>8</v>
      </c>
    </row>
    <row r="13" spans="1:9" x14ac:dyDescent="0.25">
      <c r="A13" t="s">
        <v>5</v>
      </c>
      <c r="B13" s="2">
        <v>1.4999999999999999E-2</v>
      </c>
      <c r="C13" t="s">
        <v>3</v>
      </c>
      <c r="E13" s="3">
        <f t="shared" si="0"/>
        <v>11264.925865953071</v>
      </c>
      <c r="F13" s="2">
        <v>1.4999999999999999E-2</v>
      </c>
      <c r="G13" s="3">
        <f t="shared" si="1"/>
        <v>168.97388798929606</v>
      </c>
      <c r="H13" s="3">
        <f t="shared" si="2"/>
        <v>11433.899753942367</v>
      </c>
      <c r="I13">
        <v>9</v>
      </c>
    </row>
    <row r="14" spans="1:9" x14ac:dyDescent="0.25">
      <c r="A14" t="s">
        <v>6</v>
      </c>
      <c r="B14">
        <v>12</v>
      </c>
      <c r="C14" t="s">
        <v>7</v>
      </c>
      <c r="E14" s="3">
        <f t="shared" si="0"/>
        <v>11433.899753942367</v>
      </c>
      <c r="F14" s="2">
        <v>1.4999999999999999E-2</v>
      </c>
      <c r="G14" s="3">
        <f t="shared" si="1"/>
        <v>171.5084963091355</v>
      </c>
      <c r="H14" s="3">
        <f t="shared" si="2"/>
        <v>11605.408250251503</v>
      </c>
      <c r="I14">
        <v>10</v>
      </c>
    </row>
    <row r="15" spans="1:9" x14ac:dyDescent="0.25">
      <c r="A15" t="s">
        <v>8</v>
      </c>
      <c r="B15" s="3">
        <f>B12*(1+B13)^B14</f>
        <v>11956.181714615333</v>
      </c>
      <c r="C15" t="s">
        <v>9</v>
      </c>
      <c r="E15" s="3">
        <f t="shared" ref="E15" si="3">H14</f>
        <v>11605.408250251503</v>
      </c>
      <c r="F15" s="2">
        <v>1.4999999999999999E-2</v>
      </c>
      <c r="G15" s="3">
        <f t="shared" ref="G15" si="4">E15*F15</f>
        <v>174.08112375377254</v>
      </c>
      <c r="H15" s="3">
        <f t="shared" ref="H15" si="5">E15+G15</f>
        <v>11779.489374005276</v>
      </c>
      <c r="I15">
        <v>11</v>
      </c>
    </row>
    <row r="16" spans="1:9" x14ac:dyDescent="0.25">
      <c r="A16" t="s">
        <v>10</v>
      </c>
      <c r="B16" s="3">
        <f>B15/B14</f>
        <v>996.34847621794449</v>
      </c>
      <c r="E16" s="3">
        <f t="shared" ref="E16:E17" si="6">H15</f>
        <v>11779.489374005276</v>
      </c>
      <c r="F16" s="2">
        <v>1.4999999999999999E-2</v>
      </c>
      <c r="G16" s="3">
        <f t="shared" ref="G16:G17" si="7">E16*F16</f>
        <v>176.69234061007913</v>
      </c>
      <c r="H16" s="3">
        <f t="shared" ref="H16:H17" si="8">E16+G16</f>
        <v>11956.181714615355</v>
      </c>
      <c r="I16">
        <v>12</v>
      </c>
    </row>
    <row r="17" spans="5:8" x14ac:dyDescent="0.25">
      <c r="E17" s="3"/>
      <c r="F17" s="2"/>
      <c r="G17" s="3"/>
      <c r="H17" s="3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92FD0-15A8-440F-8615-713909D2352B}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19</v>
      </c>
    </row>
    <row r="2" spans="1:1" x14ac:dyDescent="0.25">
      <c r="A2" s="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Juros Compostos</vt:lpstr>
      <vt:lpstr>SAC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2026-08-29T14:35:02Z</dcterms:created>
  <dcterms:modified xsi:type="dcterms:W3CDTF">2026-08-29T15:12:25Z</dcterms:modified>
</cp:coreProperties>
</file>