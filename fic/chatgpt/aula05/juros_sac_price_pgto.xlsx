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tgpt\Desktop\senai2026\fic\chatgpt\aula05\"/>
    </mc:Choice>
  </mc:AlternateContent>
  <xr:revisionPtr revIDLastSave="0" documentId="13_ncr:1_{15B23B02-BC92-408C-8737-AAD1A6A25B8D}" xr6:coauthVersionLast="47" xr6:coauthVersionMax="47" xr10:uidLastSave="{00000000-0000-0000-0000-000000000000}"/>
  <bookViews>
    <workbookView xWindow="-120" yWindow="-120" windowWidth="29040" windowHeight="15720" activeTab="2" xr2:uid="{536D4025-6550-4D85-B0EF-CCA3EE5E2E54}"/>
  </bookViews>
  <sheets>
    <sheet name="Juros Compostos" sheetId="1" r:id="rId1"/>
    <sheet name="SAC PRICE" sheetId="2" r:id="rId2"/>
    <sheet name="Função PG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B5" i="3"/>
  <c r="B6" i="3" s="1"/>
  <c r="B7" i="3" s="1"/>
  <c r="K24" i="2"/>
  <c r="E24" i="2"/>
  <c r="K12" i="2"/>
  <c r="K13" i="2"/>
  <c r="K14" i="2"/>
  <c r="K15" i="2"/>
  <c r="K16" i="2"/>
  <c r="K17" i="2"/>
  <c r="K18" i="2"/>
  <c r="K19" i="2"/>
  <c r="K20" i="2"/>
  <c r="K21" i="2"/>
  <c r="K22" i="2"/>
  <c r="K11" i="2"/>
  <c r="J11" i="2" s="1"/>
  <c r="H11" i="2" s="1"/>
  <c r="I12" i="2" s="1"/>
  <c r="B5" i="2"/>
  <c r="C11" i="2"/>
  <c r="I11" i="2"/>
  <c r="H10" i="2"/>
  <c r="D11" i="2"/>
  <c r="D12" i="2"/>
  <c r="D13" i="2"/>
  <c r="D14" i="2"/>
  <c r="D15" i="2"/>
  <c r="D16" i="2"/>
  <c r="D17" i="2"/>
  <c r="D18" i="2"/>
  <c r="D19" i="2"/>
  <c r="D20" i="2"/>
  <c r="D21" i="2"/>
  <c r="D22" i="2"/>
  <c r="B10" i="2"/>
  <c r="B7" i="1"/>
  <c r="B9" i="1" s="1"/>
  <c r="B14" i="1"/>
  <c r="B16" i="1" s="1"/>
  <c r="J12" i="2" l="1"/>
  <c r="H12" i="2" s="1"/>
  <c r="I13" i="2"/>
  <c r="J13" i="2" s="1"/>
  <c r="H13" i="2" s="1"/>
  <c r="E11" i="2"/>
  <c r="B11" i="2"/>
  <c r="F5" i="1"/>
  <c r="G5" i="1" s="1"/>
  <c r="H5" i="1" s="1"/>
  <c r="E6" i="1" s="1"/>
  <c r="G6" i="1" s="1"/>
  <c r="H6" i="1" s="1"/>
  <c r="E7" i="1" s="1"/>
  <c r="F16" i="1"/>
  <c r="F15" i="1"/>
  <c r="F14" i="1"/>
  <c r="F13" i="1"/>
  <c r="F12" i="1"/>
  <c r="F11" i="1"/>
  <c r="F10" i="1"/>
  <c r="F6" i="1"/>
  <c r="F9" i="1"/>
  <c r="F8" i="1"/>
  <c r="F7" i="1"/>
  <c r="I14" i="2" l="1"/>
  <c r="J14" i="2" s="1"/>
  <c r="H14" i="2" s="1"/>
  <c r="C12" i="2"/>
  <c r="E12" i="2" s="1"/>
  <c r="B12" i="2"/>
  <c r="G7" i="1"/>
  <c r="H7" i="1"/>
  <c r="E8" i="1" s="1"/>
  <c r="G8" i="1" s="1"/>
  <c r="H8" i="1" s="1"/>
  <c r="E9" i="1" s="1"/>
  <c r="G9" i="1" s="1"/>
  <c r="H9" i="1" s="1"/>
  <c r="E10" i="1" s="1"/>
  <c r="G10" i="1"/>
  <c r="H10" i="1" s="1"/>
  <c r="E11" i="1" s="1"/>
  <c r="I15" i="2" l="1"/>
  <c r="J15" i="2" s="1"/>
  <c r="H15" i="2" s="1"/>
  <c r="B13" i="2"/>
  <c r="C13" i="2"/>
  <c r="E13" i="2" s="1"/>
  <c r="G11" i="1"/>
  <c r="H11" i="1" s="1"/>
  <c r="E12" i="1" s="1"/>
  <c r="G12" i="1" s="1"/>
  <c r="H12" i="1" s="1"/>
  <c r="E13" i="1" s="1"/>
  <c r="I16" i="2" l="1"/>
  <c r="J16" i="2" s="1"/>
  <c r="H16" i="2" s="1"/>
  <c r="B14" i="2"/>
  <c r="C14" i="2"/>
  <c r="E14" i="2" s="1"/>
  <c r="G13" i="1"/>
  <c r="H13" i="1" s="1"/>
  <c r="E14" i="1" s="1"/>
  <c r="I17" i="2" l="1"/>
  <c r="J17" i="2" s="1"/>
  <c r="H17" i="2" s="1"/>
  <c r="B15" i="2"/>
  <c r="C15" i="2"/>
  <c r="E15" i="2" s="1"/>
  <c r="G14" i="1"/>
  <c r="H14" i="1" s="1"/>
  <c r="E15" i="1" s="1"/>
  <c r="I18" i="2" l="1"/>
  <c r="J18" i="2" s="1"/>
  <c r="H18" i="2" s="1"/>
  <c r="B16" i="2"/>
  <c r="C16" i="2"/>
  <c r="E16" i="2" s="1"/>
  <c r="G15" i="1"/>
  <c r="H15" i="1" s="1"/>
  <c r="E16" i="1" s="1"/>
  <c r="I19" i="2" l="1"/>
  <c r="J19" i="2" s="1"/>
  <c r="H19" i="2" s="1"/>
  <c r="C17" i="2"/>
  <c r="E17" i="2" s="1"/>
  <c r="B17" i="2"/>
  <c r="G16" i="1"/>
  <c r="H16" i="1" s="1"/>
  <c r="I20" i="2" l="1"/>
  <c r="J20" i="2" s="1"/>
  <c r="H20" i="2" s="1"/>
  <c r="B18" i="2"/>
  <c r="C18" i="2"/>
  <c r="E18" i="2" s="1"/>
  <c r="I21" i="2" l="1"/>
  <c r="J21" i="2" s="1"/>
  <c r="H21" i="2" s="1"/>
  <c r="B19" i="2"/>
  <c r="C19" i="2"/>
  <c r="E19" i="2" s="1"/>
  <c r="I22" i="2" l="1"/>
  <c r="J22" i="2" s="1"/>
  <c r="H22" i="2" s="1"/>
  <c r="B20" i="2"/>
  <c r="C20" i="2"/>
  <c r="E20" i="2" s="1"/>
  <c r="B21" i="2" l="1"/>
  <c r="C21" i="2"/>
  <c r="E21" i="2" s="1"/>
  <c r="B22" i="2" l="1"/>
  <c r="C22" i="2"/>
  <c r="E22" i="2" s="1"/>
</calcChain>
</file>

<file path=xl/sharedStrings.xml><?xml version="1.0" encoding="utf-8"?>
<sst xmlns="http://schemas.openxmlformats.org/spreadsheetml/2006/main" count="63" uniqueCount="38">
  <si>
    <t>M=C.(1+i)^n</t>
  </si>
  <si>
    <t>Valor</t>
  </si>
  <si>
    <t>C</t>
  </si>
  <si>
    <t>i</t>
  </si>
  <si>
    <t>Valor [C]</t>
  </si>
  <si>
    <t>Taxa mensal [i]</t>
  </si>
  <si>
    <t>Total de parcelas [n]</t>
  </si>
  <si>
    <t>n</t>
  </si>
  <si>
    <t>Montante [M]</t>
  </si>
  <si>
    <t>M</t>
  </si>
  <si>
    <t>Taxa</t>
  </si>
  <si>
    <t>Juros</t>
  </si>
  <si>
    <t>Montante</t>
  </si>
  <si>
    <t>Prova real</t>
  </si>
  <si>
    <t>Mês</t>
  </si>
  <si>
    <t>Exemplo jutos compostos</t>
  </si>
  <si>
    <t>Fórmula juros compostos</t>
  </si>
  <si>
    <t>Exemplo Juros simples</t>
  </si>
  <si>
    <t>Calculando Financiamento</t>
  </si>
  <si>
    <t>Exemplo de valores a serem financiados</t>
  </si>
  <si>
    <t>Taxa ao ano</t>
  </si>
  <si>
    <t>Taxa CDI ao ano</t>
  </si>
  <si>
    <t>SIMULAÇÃO SAC</t>
  </si>
  <si>
    <t>Saldo Devedor</t>
  </si>
  <si>
    <t>Amortização</t>
  </si>
  <si>
    <t>Parcela</t>
  </si>
  <si>
    <t>SIMULAÇÃO PRICE</t>
  </si>
  <si>
    <t>Total</t>
  </si>
  <si>
    <t>Meses</t>
  </si>
  <si>
    <t>SAC</t>
  </si>
  <si>
    <t>PRICE</t>
  </si>
  <si>
    <t>Juros ao mês</t>
  </si>
  <si>
    <t>Total de parcelas</t>
  </si>
  <si>
    <t>EXEMPLO COM A FUNÇÃO</t>
  </si>
  <si>
    <t>Aplicando PGTO</t>
  </si>
  <si>
    <t>Total pago</t>
  </si>
  <si>
    <t>Juros efetivo</t>
  </si>
  <si>
    <t>Aplicando 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</si>
</sst>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10" fontId="0" fillId="0" borderId="0" xfId="0" applyNumberFormat="1"/>
    <xf numFmtId="44" fontId="0" fillId="0" borderId="0" xfId="0" applyNumberFormat="1"/>
    <xf numFmtId="0" fontId="2" fillId="0" borderId="0" xfId="0" applyFont="1"/>
    <xf numFmtId="0" fontId="3" fillId="0" borderId="0" xfId="0" applyFont="1"/>
    <xf numFmtId="44" fontId="1" fillId="0" borderId="0" xfId="1" applyFont="1"/>
    <xf numFmtId="164" fontId="0" fillId="0" borderId="0" xfId="2" applyNumberFormat="1" applyFont="1"/>
    <xf numFmtId="10" fontId="0" fillId="0" borderId="0" xfId="2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/>
    <xf numFmtId="44" fontId="0" fillId="0" borderId="0" xfId="1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7</xdr:row>
      <xdr:rowOff>71438</xdr:rowOff>
    </xdr:from>
    <xdr:to>
      <xdr:col>3</xdr:col>
      <xdr:colOff>642939</xdr:colOff>
      <xdr:row>18</xdr:row>
      <xdr:rowOff>159462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61EE39-4553-6BA6-8314-C56AF4581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" y="1404938"/>
          <a:ext cx="3887392" cy="2183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C5FF-AD4A-4999-B3C3-4A26AEFFE089}">
  <dimension ref="A1:J124"/>
  <sheetViews>
    <sheetView zoomScale="145" zoomScaleNormal="145" workbookViewId="0">
      <selection activeCell="J17" sqref="J17"/>
    </sheetView>
  </sheetViews>
  <sheetFormatPr defaultRowHeight="15" x14ac:dyDescent="0.25"/>
  <cols>
    <col min="1" max="1" width="24.7109375" bestFit="1" customWidth="1"/>
    <col min="2" max="2" width="13.28515625" bestFit="1" customWidth="1"/>
    <col min="3" max="3" width="2.5703125" bestFit="1" customWidth="1"/>
    <col min="4" max="4" width="8.42578125" customWidth="1"/>
    <col min="5" max="5" width="13.28515625" bestFit="1" customWidth="1"/>
    <col min="6" max="6" width="6.140625" bestFit="1" customWidth="1"/>
    <col min="7" max="7" width="10.5703125" bestFit="1" customWidth="1"/>
    <col min="8" max="8" width="13.28515625" bestFit="1" customWidth="1"/>
    <col min="9" max="9" width="4.5703125" bestFit="1" customWidth="1"/>
  </cols>
  <sheetData>
    <row r="1" spans="1:10" ht="24" x14ac:dyDescent="0.4">
      <c r="A1" s="5" t="s">
        <v>11</v>
      </c>
      <c r="J1" s="8"/>
    </row>
    <row r="2" spans="1:10" x14ac:dyDescent="0.25">
      <c r="A2" t="s">
        <v>16</v>
      </c>
      <c r="B2" s="4" t="s">
        <v>0</v>
      </c>
    </row>
    <row r="3" spans="1:10" x14ac:dyDescent="0.25">
      <c r="E3" s="9" t="s">
        <v>13</v>
      </c>
      <c r="F3" s="9"/>
      <c r="G3" s="9"/>
      <c r="H3" s="9"/>
    </row>
    <row r="4" spans="1:10" x14ac:dyDescent="0.25">
      <c r="A4" s="4" t="s">
        <v>17</v>
      </c>
      <c r="E4" t="s">
        <v>1</v>
      </c>
      <c r="F4" t="s">
        <v>10</v>
      </c>
      <c r="G4" t="s">
        <v>11</v>
      </c>
      <c r="H4" t="s">
        <v>12</v>
      </c>
      <c r="I4" t="s">
        <v>14</v>
      </c>
    </row>
    <row r="5" spans="1:10" x14ac:dyDescent="0.25">
      <c r="A5" t="s">
        <v>4</v>
      </c>
      <c r="B5" s="1">
        <v>10000</v>
      </c>
      <c r="C5" t="s">
        <v>2</v>
      </c>
      <c r="E5" s="1">
        <v>10000</v>
      </c>
      <c r="F5" s="2">
        <f>$B$7</f>
        <v>1.1583333333333334E-2</v>
      </c>
      <c r="G5" s="3">
        <f>E5*F5</f>
        <v>115.83333333333334</v>
      </c>
      <c r="H5" s="3">
        <f>E5+G5</f>
        <v>10115.833333333334</v>
      </c>
      <c r="I5">
        <v>1</v>
      </c>
    </row>
    <row r="6" spans="1:10" x14ac:dyDescent="0.25">
      <c r="A6" t="s">
        <v>21</v>
      </c>
      <c r="B6" s="2">
        <v>0.13900000000000001</v>
      </c>
      <c r="E6" s="3">
        <f>H5</f>
        <v>10115.833333333334</v>
      </c>
      <c r="F6" s="2">
        <f>$B$7</f>
        <v>1.1583333333333334E-2</v>
      </c>
      <c r="G6" s="3">
        <f>E6*F6</f>
        <v>117.17506944444446</v>
      </c>
      <c r="H6" s="3">
        <f>E6+G6</f>
        <v>10233.008402777778</v>
      </c>
      <c r="I6">
        <v>2</v>
      </c>
    </row>
    <row r="7" spans="1:10" x14ac:dyDescent="0.25">
      <c r="A7" t="s">
        <v>5</v>
      </c>
      <c r="B7" s="2">
        <f>B6/12</f>
        <v>1.1583333333333334E-2</v>
      </c>
      <c r="C7" t="s">
        <v>3</v>
      </c>
      <c r="E7" s="3">
        <f t="shared" ref="E7:E14" si="0">H6</f>
        <v>10233.008402777778</v>
      </c>
      <c r="F7" s="2">
        <f>$B$7</f>
        <v>1.1583333333333334E-2</v>
      </c>
      <c r="G7" s="3">
        <f t="shared" ref="G7:G14" si="1">E7*F7</f>
        <v>118.53234733217593</v>
      </c>
      <c r="H7" s="3">
        <f t="shared" ref="H7:H14" si="2">E7+G7</f>
        <v>10351.540750109953</v>
      </c>
      <c r="I7">
        <v>3</v>
      </c>
    </row>
    <row r="8" spans="1:10" x14ac:dyDescent="0.25">
      <c r="A8" t="s">
        <v>6</v>
      </c>
      <c r="B8">
        <v>120</v>
      </c>
      <c r="C8" t="s">
        <v>7</v>
      </c>
      <c r="E8" s="3">
        <f>H7</f>
        <v>10351.540750109953</v>
      </c>
      <c r="F8" s="2">
        <f>$B$7</f>
        <v>1.1583333333333334E-2</v>
      </c>
      <c r="G8" s="3">
        <f t="shared" si="1"/>
        <v>119.90534702210697</v>
      </c>
      <c r="H8" s="3">
        <f t="shared" si="2"/>
        <v>10471.446097132059</v>
      </c>
      <c r="I8">
        <v>4</v>
      </c>
    </row>
    <row r="9" spans="1:10" x14ac:dyDescent="0.25">
      <c r="A9" t="s">
        <v>12</v>
      </c>
      <c r="B9" s="3">
        <f>B5+B5*B7*B8</f>
        <v>23900</v>
      </c>
      <c r="E9" s="3">
        <f t="shared" si="0"/>
        <v>10471.446097132059</v>
      </c>
      <c r="F9" s="2">
        <f>$B$7</f>
        <v>1.1583333333333334E-2</v>
      </c>
      <c r="G9" s="3">
        <f t="shared" si="1"/>
        <v>121.29425062511302</v>
      </c>
      <c r="H9" s="3">
        <f t="shared" si="2"/>
        <v>10592.740347757172</v>
      </c>
      <c r="I9">
        <v>5</v>
      </c>
    </row>
    <row r="10" spans="1:10" x14ac:dyDescent="0.25">
      <c r="E10" s="3">
        <f t="shared" si="0"/>
        <v>10592.740347757172</v>
      </c>
      <c r="F10" s="2">
        <f>$B$7</f>
        <v>1.1583333333333334E-2</v>
      </c>
      <c r="G10" s="3">
        <f t="shared" si="1"/>
        <v>122.69924236152058</v>
      </c>
      <c r="H10" s="3">
        <f t="shared" si="2"/>
        <v>10715.439590118693</v>
      </c>
      <c r="I10">
        <v>6</v>
      </c>
    </row>
    <row r="11" spans="1:10" x14ac:dyDescent="0.25">
      <c r="A11" s="4" t="s">
        <v>15</v>
      </c>
      <c r="E11" s="3">
        <f t="shared" si="0"/>
        <v>10715.439590118693</v>
      </c>
      <c r="F11" s="2">
        <f>$B$7</f>
        <v>1.1583333333333334E-2</v>
      </c>
      <c r="G11" s="3">
        <f t="shared" si="1"/>
        <v>124.12050858554153</v>
      </c>
      <c r="H11" s="3">
        <f t="shared" si="2"/>
        <v>10839.560098704234</v>
      </c>
      <c r="I11">
        <v>7</v>
      </c>
    </row>
    <row r="12" spans="1:10" x14ac:dyDescent="0.25">
      <c r="A12" t="s">
        <v>4</v>
      </c>
      <c r="B12" s="6">
        <v>10000</v>
      </c>
      <c r="C12" t="s">
        <v>2</v>
      </c>
      <c r="E12" s="3">
        <f t="shared" si="0"/>
        <v>10839.560098704234</v>
      </c>
      <c r="F12" s="2">
        <f>$B$7</f>
        <v>1.1583333333333334E-2</v>
      </c>
      <c r="G12" s="3">
        <f t="shared" si="1"/>
        <v>125.55823780999073</v>
      </c>
      <c r="H12" s="3">
        <f t="shared" si="2"/>
        <v>10965.118336514226</v>
      </c>
      <c r="I12">
        <v>8</v>
      </c>
    </row>
    <row r="13" spans="1:10" x14ac:dyDescent="0.25">
      <c r="A13" t="s">
        <v>21</v>
      </c>
      <c r="B13" s="2">
        <v>0.13900000000000001</v>
      </c>
      <c r="E13" s="3">
        <f t="shared" si="0"/>
        <v>10965.118336514226</v>
      </c>
      <c r="F13" s="2">
        <f>$B$7</f>
        <v>1.1583333333333334E-2</v>
      </c>
      <c r="G13" s="3">
        <f t="shared" si="1"/>
        <v>127.0126207312898</v>
      </c>
      <c r="H13" s="3">
        <f t="shared" si="2"/>
        <v>11092.130957245516</v>
      </c>
      <c r="I13">
        <v>9</v>
      </c>
    </row>
    <row r="14" spans="1:10" x14ac:dyDescent="0.25">
      <c r="A14" t="s">
        <v>5</v>
      </c>
      <c r="B14" s="2">
        <f>B13/12</f>
        <v>1.1583333333333334E-2</v>
      </c>
      <c r="C14" t="s">
        <v>3</v>
      </c>
      <c r="E14" s="3">
        <f t="shared" si="0"/>
        <v>11092.130957245516</v>
      </c>
      <c r="F14" s="2">
        <f>$B$7</f>
        <v>1.1583333333333334E-2</v>
      </c>
      <c r="G14" s="3">
        <f t="shared" si="1"/>
        <v>128.48385025476057</v>
      </c>
      <c r="H14" s="3">
        <f t="shared" si="2"/>
        <v>11220.614807500277</v>
      </c>
      <c r="I14">
        <v>10</v>
      </c>
    </row>
    <row r="15" spans="1:10" x14ac:dyDescent="0.25">
      <c r="A15" t="s">
        <v>6</v>
      </c>
      <c r="B15">
        <v>120</v>
      </c>
      <c r="C15" t="s">
        <v>7</v>
      </c>
      <c r="E15" s="3">
        <f t="shared" ref="E15" si="3">H14</f>
        <v>11220.614807500277</v>
      </c>
      <c r="F15" s="2">
        <f>$B$7</f>
        <v>1.1583333333333334E-2</v>
      </c>
      <c r="G15" s="3">
        <f t="shared" ref="G15" si="4">E15*F15</f>
        <v>129.97212152021154</v>
      </c>
      <c r="H15" s="3">
        <f t="shared" ref="H15" si="5">E15+G15</f>
        <v>11350.586929020488</v>
      </c>
      <c r="I15">
        <v>11</v>
      </c>
    </row>
    <row r="16" spans="1:10" x14ac:dyDescent="0.25">
      <c r="A16" t="s">
        <v>8</v>
      </c>
      <c r="B16" s="3">
        <f>B12*(1+B14)^B15</f>
        <v>39829.040551483165</v>
      </c>
      <c r="C16" t="s">
        <v>9</v>
      </c>
      <c r="E16" s="3">
        <f t="shared" ref="E16" si="6">H15</f>
        <v>11350.586929020488</v>
      </c>
      <c r="F16" s="2">
        <f>$B$7</f>
        <v>1.1583333333333334E-2</v>
      </c>
      <c r="G16" s="3">
        <f t="shared" ref="G16" si="7">E16*F16</f>
        <v>131.47763192782068</v>
      </c>
      <c r="H16" s="3">
        <f>E16+G16</f>
        <v>11482.064560948309</v>
      </c>
      <c r="I16">
        <v>12</v>
      </c>
    </row>
    <row r="17" spans="5:8" x14ac:dyDescent="0.25">
      <c r="E17" s="3"/>
      <c r="F17" s="2"/>
      <c r="G17" s="3"/>
      <c r="H17" s="3"/>
    </row>
    <row r="18" spans="5:8" x14ac:dyDescent="0.25">
      <c r="E18" s="3"/>
      <c r="F18" s="2"/>
      <c r="G18" s="3"/>
      <c r="H18" s="3"/>
    </row>
    <row r="19" spans="5:8" x14ac:dyDescent="0.25">
      <c r="E19" s="3"/>
      <c r="F19" s="2"/>
      <c r="G19" s="3"/>
      <c r="H19" s="3"/>
    </row>
    <row r="20" spans="5:8" x14ac:dyDescent="0.25">
      <c r="E20" s="3"/>
      <c r="F20" s="2"/>
      <c r="G20" s="3"/>
      <c r="H20" s="3"/>
    </row>
    <row r="21" spans="5:8" x14ac:dyDescent="0.25">
      <c r="E21" s="3"/>
      <c r="F21" s="2"/>
      <c r="G21" s="3"/>
      <c r="H21" s="3"/>
    </row>
    <row r="22" spans="5:8" x14ac:dyDescent="0.25">
      <c r="E22" s="3"/>
      <c r="F22" s="2"/>
      <c r="G22" s="3"/>
      <c r="H22" s="3"/>
    </row>
    <row r="23" spans="5:8" x14ac:dyDescent="0.25">
      <c r="E23" s="3"/>
      <c r="F23" s="2"/>
      <c r="G23" s="3"/>
      <c r="H23" s="3"/>
    </row>
    <row r="24" spans="5:8" x14ac:dyDescent="0.25">
      <c r="E24" s="3"/>
      <c r="F24" s="2"/>
      <c r="G24" s="3"/>
      <c r="H24" s="3"/>
    </row>
    <row r="25" spans="5:8" x14ac:dyDescent="0.25">
      <c r="E25" s="3"/>
      <c r="F25" s="2"/>
      <c r="G25" s="3"/>
      <c r="H25" s="3"/>
    </row>
    <row r="26" spans="5:8" x14ac:dyDescent="0.25">
      <c r="E26" s="3"/>
      <c r="F26" s="2"/>
      <c r="G26" s="3"/>
      <c r="H26" s="3"/>
    </row>
    <row r="27" spans="5:8" x14ac:dyDescent="0.25">
      <c r="E27" s="3"/>
      <c r="F27" s="2"/>
      <c r="G27" s="3"/>
      <c r="H27" s="3"/>
    </row>
    <row r="28" spans="5:8" x14ac:dyDescent="0.25">
      <c r="E28" s="3"/>
      <c r="F28" s="2"/>
      <c r="G28" s="3"/>
      <c r="H28" s="3"/>
    </row>
    <row r="29" spans="5:8" x14ac:dyDescent="0.25">
      <c r="E29" s="3"/>
      <c r="F29" s="2"/>
      <c r="G29" s="3"/>
      <c r="H29" s="3"/>
    </row>
    <row r="30" spans="5:8" x14ac:dyDescent="0.25">
      <c r="E30" s="3"/>
      <c r="F30" s="2"/>
      <c r="G30" s="3"/>
      <c r="H30" s="3"/>
    </row>
    <row r="31" spans="5:8" x14ac:dyDescent="0.25">
      <c r="E31" s="3"/>
      <c r="F31" s="2"/>
      <c r="G31" s="3"/>
      <c r="H31" s="3"/>
    </row>
    <row r="32" spans="5:8" x14ac:dyDescent="0.25">
      <c r="E32" s="3"/>
      <c r="F32" s="2"/>
      <c r="G32" s="3"/>
      <c r="H32" s="3"/>
    </row>
    <row r="33" spans="5:8" x14ac:dyDescent="0.25">
      <c r="E33" s="3"/>
      <c r="F33" s="2"/>
      <c r="G33" s="3"/>
      <c r="H33" s="3"/>
    </row>
    <row r="34" spans="5:8" x14ac:dyDescent="0.25">
      <c r="E34" s="3"/>
      <c r="F34" s="2"/>
      <c r="G34" s="3"/>
      <c r="H34" s="3"/>
    </row>
    <row r="35" spans="5:8" x14ac:dyDescent="0.25">
      <c r="E35" s="3"/>
      <c r="F35" s="2"/>
      <c r="G35" s="3"/>
      <c r="H35" s="3"/>
    </row>
    <row r="36" spans="5:8" x14ac:dyDescent="0.25">
      <c r="E36" s="3"/>
      <c r="F36" s="2"/>
      <c r="G36" s="3"/>
      <c r="H36" s="3"/>
    </row>
    <row r="37" spans="5:8" x14ac:dyDescent="0.25">
      <c r="E37" s="3"/>
      <c r="F37" s="2"/>
      <c r="G37" s="3"/>
      <c r="H37" s="3"/>
    </row>
    <row r="38" spans="5:8" x14ac:dyDescent="0.25">
      <c r="E38" s="3"/>
      <c r="F38" s="2"/>
      <c r="G38" s="3"/>
      <c r="H38" s="3"/>
    </row>
    <row r="39" spans="5:8" x14ac:dyDescent="0.25">
      <c r="E39" s="3"/>
      <c r="F39" s="2"/>
      <c r="G39" s="3"/>
      <c r="H39" s="3"/>
    </row>
    <row r="40" spans="5:8" x14ac:dyDescent="0.25">
      <c r="E40" s="3"/>
      <c r="F40" s="2"/>
      <c r="G40" s="3"/>
      <c r="H40" s="3"/>
    </row>
    <row r="41" spans="5:8" x14ac:dyDescent="0.25">
      <c r="E41" s="3"/>
      <c r="F41" s="2"/>
      <c r="G41" s="3"/>
      <c r="H41" s="3"/>
    </row>
    <row r="42" spans="5:8" x14ac:dyDescent="0.25">
      <c r="E42" s="3"/>
      <c r="F42" s="2"/>
      <c r="G42" s="3"/>
      <c r="H42" s="3"/>
    </row>
    <row r="43" spans="5:8" x14ac:dyDescent="0.25">
      <c r="E43" s="3"/>
      <c r="F43" s="2"/>
      <c r="G43" s="3"/>
      <c r="H43" s="3"/>
    </row>
    <row r="44" spans="5:8" x14ac:dyDescent="0.25">
      <c r="E44" s="3"/>
      <c r="F44" s="2"/>
      <c r="G44" s="3"/>
      <c r="H44" s="3"/>
    </row>
    <row r="45" spans="5:8" x14ac:dyDescent="0.25">
      <c r="E45" s="3"/>
      <c r="F45" s="2"/>
      <c r="G45" s="3"/>
      <c r="H45" s="3"/>
    </row>
    <row r="46" spans="5:8" x14ac:dyDescent="0.25">
      <c r="E46" s="3"/>
      <c r="F46" s="2"/>
      <c r="G46" s="3"/>
      <c r="H46" s="3"/>
    </row>
    <row r="47" spans="5:8" x14ac:dyDescent="0.25">
      <c r="E47" s="3"/>
      <c r="F47" s="2"/>
      <c r="G47" s="3"/>
      <c r="H47" s="3"/>
    </row>
    <row r="48" spans="5:8" x14ac:dyDescent="0.25">
      <c r="E48" s="3"/>
      <c r="F48" s="2"/>
      <c r="G48" s="3"/>
      <c r="H48" s="3"/>
    </row>
    <row r="49" spans="5:8" x14ac:dyDescent="0.25">
      <c r="E49" s="3"/>
      <c r="F49" s="2"/>
      <c r="G49" s="3"/>
      <c r="H49" s="3"/>
    </row>
    <row r="50" spans="5:8" x14ac:dyDescent="0.25">
      <c r="E50" s="3"/>
      <c r="F50" s="2"/>
      <c r="G50" s="3"/>
      <c r="H50" s="3"/>
    </row>
    <row r="51" spans="5:8" x14ac:dyDescent="0.25">
      <c r="E51" s="3"/>
      <c r="F51" s="2"/>
      <c r="G51" s="3"/>
      <c r="H51" s="3"/>
    </row>
    <row r="52" spans="5:8" x14ac:dyDescent="0.25">
      <c r="E52" s="3"/>
      <c r="F52" s="2"/>
      <c r="G52" s="3"/>
      <c r="H52" s="3"/>
    </row>
    <row r="53" spans="5:8" x14ac:dyDescent="0.25">
      <c r="E53" s="3"/>
      <c r="F53" s="2"/>
      <c r="G53" s="3"/>
      <c r="H53" s="3"/>
    </row>
    <row r="54" spans="5:8" x14ac:dyDescent="0.25">
      <c r="E54" s="3"/>
      <c r="F54" s="2"/>
      <c r="G54" s="3"/>
      <c r="H54" s="3"/>
    </row>
    <row r="55" spans="5:8" x14ac:dyDescent="0.25">
      <c r="E55" s="3"/>
      <c r="F55" s="2"/>
      <c r="G55" s="3"/>
      <c r="H55" s="3"/>
    </row>
    <row r="56" spans="5:8" x14ac:dyDescent="0.25">
      <c r="E56" s="3"/>
      <c r="F56" s="2"/>
      <c r="G56" s="3"/>
      <c r="H56" s="3"/>
    </row>
    <row r="57" spans="5:8" x14ac:dyDescent="0.25">
      <c r="E57" s="3"/>
      <c r="F57" s="2"/>
      <c r="G57" s="3"/>
      <c r="H57" s="3"/>
    </row>
    <row r="58" spans="5:8" x14ac:dyDescent="0.25">
      <c r="E58" s="3"/>
      <c r="F58" s="2"/>
      <c r="G58" s="3"/>
      <c r="H58" s="3"/>
    </row>
    <row r="59" spans="5:8" x14ac:dyDescent="0.25">
      <c r="E59" s="3"/>
      <c r="F59" s="2"/>
      <c r="G59" s="3"/>
      <c r="H59" s="3"/>
    </row>
    <row r="60" spans="5:8" x14ac:dyDescent="0.25">
      <c r="E60" s="3"/>
      <c r="F60" s="2"/>
      <c r="G60" s="3"/>
      <c r="H60" s="3"/>
    </row>
    <row r="61" spans="5:8" x14ac:dyDescent="0.25">
      <c r="E61" s="3"/>
      <c r="F61" s="2"/>
      <c r="G61" s="3"/>
      <c r="H61" s="3"/>
    </row>
    <row r="62" spans="5:8" x14ac:dyDescent="0.25">
      <c r="E62" s="3"/>
      <c r="F62" s="2"/>
      <c r="G62" s="3"/>
      <c r="H62" s="3"/>
    </row>
    <row r="63" spans="5:8" x14ac:dyDescent="0.25">
      <c r="E63" s="3"/>
      <c r="F63" s="2"/>
      <c r="G63" s="3"/>
      <c r="H63" s="3"/>
    </row>
    <row r="64" spans="5:8" x14ac:dyDescent="0.25">
      <c r="E64" s="3"/>
      <c r="F64" s="2"/>
      <c r="G64" s="3"/>
      <c r="H64" s="3"/>
    </row>
    <row r="65" spans="5:8" x14ac:dyDescent="0.25">
      <c r="E65" s="3"/>
      <c r="F65" s="2"/>
      <c r="G65" s="3"/>
      <c r="H65" s="3"/>
    </row>
    <row r="66" spans="5:8" x14ac:dyDescent="0.25">
      <c r="E66" s="3"/>
      <c r="F66" s="2"/>
      <c r="G66" s="3"/>
      <c r="H66" s="3"/>
    </row>
    <row r="67" spans="5:8" x14ac:dyDescent="0.25">
      <c r="E67" s="3"/>
      <c r="F67" s="2"/>
      <c r="G67" s="3"/>
      <c r="H67" s="3"/>
    </row>
    <row r="68" spans="5:8" x14ac:dyDescent="0.25">
      <c r="E68" s="3"/>
      <c r="F68" s="2"/>
      <c r="G68" s="3"/>
      <c r="H68" s="3"/>
    </row>
    <row r="69" spans="5:8" x14ac:dyDescent="0.25">
      <c r="E69" s="3"/>
      <c r="F69" s="2"/>
      <c r="G69" s="3"/>
      <c r="H69" s="3"/>
    </row>
    <row r="70" spans="5:8" x14ac:dyDescent="0.25">
      <c r="E70" s="3"/>
      <c r="F70" s="2"/>
      <c r="G70" s="3"/>
      <c r="H70" s="3"/>
    </row>
    <row r="71" spans="5:8" x14ac:dyDescent="0.25">
      <c r="E71" s="3"/>
      <c r="F71" s="2"/>
      <c r="G71" s="3"/>
      <c r="H71" s="3"/>
    </row>
    <row r="72" spans="5:8" x14ac:dyDescent="0.25">
      <c r="E72" s="3"/>
      <c r="F72" s="2"/>
      <c r="G72" s="3"/>
      <c r="H72" s="3"/>
    </row>
    <row r="73" spans="5:8" x14ac:dyDescent="0.25">
      <c r="E73" s="3"/>
      <c r="F73" s="2"/>
      <c r="G73" s="3"/>
      <c r="H73" s="3"/>
    </row>
    <row r="74" spans="5:8" x14ac:dyDescent="0.25">
      <c r="E74" s="3"/>
      <c r="F74" s="2"/>
      <c r="G74" s="3"/>
      <c r="H74" s="3"/>
    </row>
    <row r="75" spans="5:8" x14ac:dyDescent="0.25">
      <c r="E75" s="3"/>
      <c r="F75" s="2"/>
      <c r="G75" s="3"/>
      <c r="H75" s="3"/>
    </row>
    <row r="76" spans="5:8" x14ac:dyDescent="0.25">
      <c r="E76" s="3"/>
      <c r="F76" s="2"/>
      <c r="G76" s="3"/>
      <c r="H76" s="3"/>
    </row>
    <row r="77" spans="5:8" x14ac:dyDescent="0.25">
      <c r="E77" s="3"/>
      <c r="F77" s="2"/>
      <c r="G77" s="3"/>
      <c r="H77" s="3"/>
    </row>
    <row r="78" spans="5:8" x14ac:dyDescent="0.25">
      <c r="E78" s="3"/>
      <c r="F78" s="2"/>
      <c r="G78" s="3"/>
      <c r="H78" s="3"/>
    </row>
    <row r="79" spans="5:8" x14ac:dyDescent="0.25">
      <c r="E79" s="3"/>
      <c r="F79" s="2"/>
      <c r="G79" s="3"/>
      <c r="H79" s="3"/>
    </row>
    <row r="80" spans="5:8" x14ac:dyDescent="0.25">
      <c r="E80" s="3"/>
      <c r="F80" s="2"/>
      <c r="G80" s="3"/>
      <c r="H80" s="3"/>
    </row>
    <row r="81" spans="5:8" x14ac:dyDescent="0.25">
      <c r="E81" s="3"/>
      <c r="F81" s="2"/>
      <c r="G81" s="3"/>
      <c r="H81" s="3"/>
    </row>
    <row r="82" spans="5:8" x14ac:dyDescent="0.25">
      <c r="E82" s="3"/>
      <c r="F82" s="2"/>
      <c r="G82" s="3"/>
      <c r="H82" s="3"/>
    </row>
    <row r="83" spans="5:8" x14ac:dyDescent="0.25">
      <c r="E83" s="3"/>
      <c r="F83" s="2"/>
      <c r="G83" s="3"/>
      <c r="H83" s="3"/>
    </row>
    <row r="84" spans="5:8" x14ac:dyDescent="0.25">
      <c r="E84" s="3"/>
      <c r="F84" s="2"/>
      <c r="G84" s="3"/>
      <c r="H84" s="3"/>
    </row>
    <row r="85" spans="5:8" x14ac:dyDescent="0.25">
      <c r="E85" s="3"/>
      <c r="F85" s="2"/>
      <c r="G85" s="3"/>
      <c r="H85" s="3"/>
    </row>
    <row r="86" spans="5:8" x14ac:dyDescent="0.25">
      <c r="E86" s="3"/>
      <c r="F86" s="2"/>
      <c r="G86" s="3"/>
      <c r="H86" s="3"/>
    </row>
    <row r="87" spans="5:8" x14ac:dyDescent="0.25">
      <c r="E87" s="3"/>
      <c r="F87" s="2"/>
      <c r="G87" s="3"/>
      <c r="H87" s="3"/>
    </row>
    <row r="88" spans="5:8" x14ac:dyDescent="0.25">
      <c r="E88" s="3"/>
      <c r="F88" s="2"/>
      <c r="G88" s="3"/>
      <c r="H88" s="3"/>
    </row>
    <row r="89" spans="5:8" x14ac:dyDescent="0.25">
      <c r="E89" s="3"/>
      <c r="F89" s="2"/>
      <c r="G89" s="3"/>
      <c r="H89" s="3"/>
    </row>
    <row r="90" spans="5:8" x14ac:dyDescent="0.25">
      <c r="E90" s="3"/>
      <c r="F90" s="2"/>
      <c r="G90" s="3"/>
      <c r="H90" s="3"/>
    </row>
    <row r="91" spans="5:8" x14ac:dyDescent="0.25">
      <c r="E91" s="3"/>
      <c r="F91" s="2"/>
      <c r="G91" s="3"/>
      <c r="H91" s="3"/>
    </row>
    <row r="92" spans="5:8" x14ac:dyDescent="0.25">
      <c r="E92" s="3"/>
      <c r="F92" s="2"/>
      <c r="G92" s="3"/>
      <c r="H92" s="3"/>
    </row>
    <row r="93" spans="5:8" x14ac:dyDescent="0.25">
      <c r="E93" s="3"/>
      <c r="F93" s="2"/>
      <c r="G93" s="3"/>
      <c r="H93" s="3"/>
    </row>
    <row r="94" spans="5:8" x14ac:dyDescent="0.25">
      <c r="E94" s="3"/>
      <c r="F94" s="2"/>
      <c r="G94" s="3"/>
      <c r="H94" s="3"/>
    </row>
    <row r="95" spans="5:8" x14ac:dyDescent="0.25">
      <c r="E95" s="3"/>
      <c r="F95" s="2"/>
      <c r="G95" s="3"/>
      <c r="H95" s="3"/>
    </row>
    <row r="96" spans="5:8" x14ac:dyDescent="0.25">
      <c r="E96" s="3"/>
      <c r="F96" s="2"/>
      <c r="G96" s="3"/>
      <c r="H96" s="3"/>
    </row>
    <row r="97" spans="5:8" x14ac:dyDescent="0.25">
      <c r="E97" s="3"/>
      <c r="F97" s="2"/>
      <c r="G97" s="3"/>
      <c r="H97" s="3"/>
    </row>
    <row r="98" spans="5:8" x14ac:dyDescent="0.25">
      <c r="E98" s="3"/>
      <c r="F98" s="2"/>
      <c r="G98" s="3"/>
      <c r="H98" s="3"/>
    </row>
    <row r="99" spans="5:8" x14ac:dyDescent="0.25">
      <c r="E99" s="3"/>
      <c r="F99" s="2"/>
      <c r="G99" s="3"/>
      <c r="H99" s="3"/>
    </row>
    <row r="100" spans="5:8" x14ac:dyDescent="0.25">
      <c r="E100" s="3"/>
      <c r="F100" s="2"/>
      <c r="G100" s="3"/>
      <c r="H100" s="3"/>
    </row>
    <row r="101" spans="5:8" x14ac:dyDescent="0.25">
      <c r="E101" s="3"/>
      <c r="F101" s="2"/>
      <c r="G101" s="3"/>
      <c r="H101" s="3"/>
    </row>
    <row r="102" spans="5:8" x14ac:dyDescent="0.25">
      <c r="E102" s="3"/>
      <c r="F102" s="2"/>
      <c r="G102" s="3"/>
      <c r="H102" s="3"/>
    </row>
    <row r="103" spans="5:8" x14ac:dyDescent="0.25">
      <c r="E103" s="3"/>
      <c r="F103" s="2"/>
      <c r="G103" s="3"/>
      <c r="H103" s="3"/>
    </row>
    <row r="104" spans="5:8" x14ac:dyDescent="0.25">
      <c r="E104" s="3"/>
      <c r="F104" s="2"/>
      <c r="G104" s="3"/>
      <c r="H104" s="3"/>
    </row>
    <row r="105" spans="5:8" x14ac:dyDescent="0.25">
      <c r="E105" s="3"/>
      <c r="F105" s="2"/>
      <c r="G105" s="3"/>
      <c r="H105" s="3"/>
    </row>
    <row r="106" spans="5:8" x14ac:dyDescent="0.25">
      <c r="E106" s="3"/>
      <c r="F106" s="2"/>
      <c r="G106" s="3"/>
      <c r="H106" s="3"/>
    </row>
    <row r="107" spans="5:8" x14ac:dyDescent="0.25">
      <c r="E107" s="3"/>
      <c r="F107" s="2"/>
      <c r="G107" s="3"/>
      <c r="H107" s="3"/>
    </row>
    <row r="108" spans="5:8" x14ac:dyDescent="0.25">
      <c r="E108" s="3"/>
      <c r="F108" s="2"/>
      <c r="G108" s="3"/>
      <c r="H108" s="3"/>
    </row>
    <row r="109" spans="5:8" x14ac:dyDescent="0.25">
      <c r="E109" s="3"/>
      <c r="F109" s="2"/>
      <c r="G109" s="3"/>
      <c r="H109" s="3"/>
    </row>
    <row r="110" spans="5:8" x14ac:dyDescent="0.25">
      <c r="E110" s="3"/>
      <c r="F110" s="2"/>
      <c r="G110" s="3"/>
      <c r="H110" s="3"/>
    </row>
    <row r="111" spans="5:8" x14ac:dyDescent="0.25">
      <c r="E111" s="3"/>
      <c r="F111" s="2"/>
      <c r="G111" s="3"/>
      <c r="H111" s="3"/>
    </row>
    <row r="112" spans="5:8" x14ac:dyDescent="0.25">
      <c r="E112" s="3"/>
      <c r="F112" s="2"/>
      <c r="G112" s="3"/>
      <c r="H112" s="3"/>
    </row>
    <row r="113" spans="5:8" x14ac:dyDescent="0.25">
      <c r="E113" s="3"/>
      <c r="F113" s="2"/>
      <c r="G113" s="3"/>
      <c r="H113" s="3"/>
    </row>
    <row r="114" spans="5:8" x14ac:dyDescent="0.25">
      <c r="E114" s="3"/>
      <c r="F114" s="2"/>
      <c r="G114" s="3"/>
      <c r="H114" s="3"/>
    </row>
    <row r="115" spans="5:8" x14ac:dyDescent="0.25">
      <c r="E115" s="3"/>
      <c r="F115" s="2"/>
      <c r="G115" s="3"/>
      <c r="H115" s="3"/>
    </row>
    <row r="116" spans="5:8" x14ac:dyDescent="0.25">
      <c r="E116" s="3"/>
      <c r="F116" s="2"/>
      <c r="G116" s="3"/>
      <c r="H116" s="3"/>
    </row>
    <row r="117" spans="5:8" x14ac:dyDescent="0.25">
      <c r="E117" s="3"/>
      <c r="F117" s="2"/>
      <c r="G117" s="3"/>
      <c r="H117" s="3"/>
    </row>
    <row r="118" spans="5:8" x14ac:dyDescent="0.25">
      <c r="E118" s="3"/>
      <c r="F118" s="2"/>
      <c r="G118" s="3"/>
      <c r="H118" s="3"/>
    </row>
    <row r="119" spans="5:8" x14ac:dyDescent="0.25">
      <c r="E119" s="3"/>
      <c r="F119" s="2"/>
      <c r="G119" s="3"/>
      <c r="H119" s="3"/>
    </row>
    <row r="120" spans="5:8" x14ac:dyDescent="0.25">
      <c r="E120" s="3"/>
      <c r="F120" s="2"/>
      <c r="G120" s="3"/>
      <c r="H120" s="3"/>
    </row>
    <row r="121" spans="5:8" x14ac:dyDescent="0.25">
      <c r="E121" s="3"/>
      <c r="F121" s="2"/>
      <c r="G121" s="3"/>
      <c r="H121" s="3"/>
    </row>
    <row r="122" spans="5:8" x14ac:dyDescent="0.25">
      <c r="E122" s="3"/>
      <c r="F122" s="2"/>
      <c r="G122" s="3"/>
      <c r="H122" s="3"/>
    </row>
    <row r="123" spans="5:8" x14ac:dyDescent="0.25">
      <c r="E123" s="3"/>
      <c r="F123" s="2"/>
      <c r="G123" s="3"/>
      <c r="H123" s="3"/>
    </row>
    <row r="124" spans="5:8" x14ac:dyDescent="0.25">
      <c r="E124" s="3"/>
      <c r="F124" s="2"/>
      <c r="G124" s="3"/>
      <c r="H124" s="3"/>
    </row>
  </sheetData>
  <mergeCells count="1">
    <mergeCell ref="E3:H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2FD0-15A8-440F-8615-713909D2352B}">
  <dimension ref="A1:K431"/>
  <sheetViews>
    <sheetView topLeftCell="A3" zoomScale="160" zoomScaleNormal="160" workbookViewId="0">
      <selection activeCell="G6" sqref="G6"/>
    </sheetView>
  </sheetViews>
  <sheetFormatPr defaultRowHeight="15" x14ac:dyDescent="0.25"/>
  <cols>
    <col min="1" max="1" width="19.140625" bestFit="1" customWidth="1"/>
    <col min="2" max="2" width="14.5703125" bestFit="1" customWidth="1"/>
    <col min="3" max="3" width="12.42578125" bestFit="1" customWidth="1"/>
    <col min="4" max="4" width="12.140625" bestFit="1" customWidth="1"/>
    <col min="5" max="5" width="14.5703125" bestFit="1" customWidth="1"/>
    <col min="8" max="8" width="13.7109375" bestFit="1" customWidth="1"/>
    <col min="9" max="9" width="11" bestFit="1" customWidth="1"/>
    <col min="10" max="10" width="12.140625" bestFit="1" customWidth="1"/>
    <col min="11" max="11" width="12" bestFit="1" customWidth="1"/>
  </cols>
  <sheetData>
    <row r="1" spans="1:11" x14ac:dyDescent="0.25">
      <c r="A1" s="10" t="s">
        <v>18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x14ac:dyDescent="0.25">
      <c r="A2" s="9" t="s">
        <v>19</v>
      </c>
      <c r="B2" s="9"/>
      <c r="C2" s="9"/>
    </row>
    <row r="3" spans="1:11" x14ac:dyDescent="0.25">
      <c r="A3" t="s">
        <v>4</v>
      </c>
      <c r="B3" s="1">
        <v>10000</v>
      </c>
      <c r="C3" t="s">
        <v>2</v>
      </c>
    </row>
    <row r="4" spans="1:11" x14ac:dyDescent="0.25">
      <c r="A4" t="s">
        <v>20</v>
      </c>
      <c r="B4" s="7">
        <v>0.13900000000000001</v>
      </c>
      <c r="J4" s="3"/>
    </row>
    <row r="5" spans="1:11" x14ac:dyDescent="0.25">
      <c r="A5" t="s">
        <v>5</v>
      </c>
      <c r="B5" s="2">
        <f>B4/12</f>
        <v>1.1583333333333334E-2</v>
      </c>
      <c r="C5" t="s">
        <v>3</v>
      </c>
    </row>
    <row r="6" spans="1:11" x14ac:dyDescent="0.25">
      <c r="A6" t="s">
        <v>6</v>
      </c>
      <c r="B6">
        <v>12</v>
      </c>
      <c r="C6" t="s">
        <v>7</v>
      </c>
    </row>
    <row r="8" spans="1:11" x14ac:dyDescent="0.25">
      <c r="A8" s="10" t="s">
        <v>22</v>
      </c>
      <c r="B8" s="10"/>
      <c r="C8" s="10"/>
      <c r="D8" s="10"/>
      <c r="E8" s="10"/>
      <c r="G8" t="s">
        <v>26</v>
      </c>
    </row>
    <row r="9" spans="1:11" x14ac:dyDescent="0.25">
      <c r="A9" t="s">
        <v>28</v>
      </c>
      <c r="B9" t="s">
        <v>23</v>
      </c>
      <c r="C9" t="s">
        <v>11</v>
      </c>
      <c r="D9" t="s">
        <v>24</v>
      </c>
      <c r="E9" t="s">
        <v>25</v>
      </c>
      <c r="G9" t="s">
        <v>28</v>
      </c>
      <c r="H9" t="s">
        <v>23</v>
      </c>
      <c r="I9" t="s">
        <v>11</v>
      </c>
      <c r="J9" t="s">
        <v>24</v>
      </c>
      <c r="K9" t="s">
        <v>25</v>
      </c>
    </row>
    <row r="10" spans="1:11" x14ac:dyDescent="0.25">
      <c r="A10" t="s">
        <v>14</v>
      </c>
      <c r="B10" s="3">
        <f>$B$3</f>
        <v>10000</v>
      </c>
      <c r="E10" t="s">
        <v>29</v>
      </c>
      <c r="G10" t="s">
        <v>14</v>
      </c>
      <c r="H10" s="3">
        <f>B3</f>
        <v>10000</v>
      </c>
      <c r="K10" t="s">
        <v>30</v>
      </c>
    </row>
    <row r="11" spans="1:11" x14ac:dyDescent="0.25">
      <c r="A11">
        <v>1</v>
      </c>
      <c r="B11" s="3">
        <f>B10-D11</f>
        <v>9166.6666666666661</v>
      </c>
      <c r="C11" s="3">
        <f>B10*$B$5</f>
        <v>115.83333333333334</v>
      </c>
      <c r="D11" s="3">
        <f>$B$3/$B$6</f>
        <v>833.33333333333337</v>
      </c>
      <c r="E11" s="3">
        <f>C11+D11</f>
        <v>949.16666666666674</v>
      </c>
      <c r="G11">
        <v>1</v>
      </c>
      <c r="H11" s="3">
        <f>H10-J11</f>
        <v>9218.4326082312054</v>
      </c>
      <c r="I11" s="3">
        <f>H10*$B$5</f>
        <v>115.83333333333334</v>
      </c>
      <c r="J11" s="11">
        <f>K11-I11</f>
        <v>781.56739176879432</v>
      </c>
      <c r="K11" s="11">
        <f>PMT($B$5,$B$6,-$B$3)</f>
        <v>897.40072510212769</v>
      </c>
    </row>
    <row r="12" spans="1:11" x14ac:dyDescent="0.25">
      <c r="A12">
        <v>2</v>
      </c>
      <c r="B12" s="3">
        <f t="shared" ref="B12:B22" si="0">B11-D12</f>
        <v>8333.3333333333321</v>
      </c>
      <c r="C12" s="3">
        <f>B11*$B$5</f>
        <v>106.18055555555556</v>
      </c>
      <c r="D12" s="3">
        <f t="shared" ref="D12:D75" si="1">$B$3/$B$6</f>
        <v>833.33333333333337</v>
      </c>
      <c r="E12" s="3">
        <f t="shared" ref="E12:E22" si="2">C12+D12</f>
        <v>939.51388888888891</v>
      </c>
      <c r="G12">
        <v>2</v>
      </c>
      <c r="H12" s="3">
        <f t="shared" ref="H12:H22" si="3">H11-J12</f>
        <v>8427.81206084109</v>
      </c>
      <c r="I12" s="3">
        <f t="shared" ref="I12:I22" si="4">H11*$B$5</f>
        <v>106.78017771201148</v>
      </c>
      <c r="J12" s="11">
        <f t="shared" ref="J12:J22" si="5">K12-I12</f>
        <v>790.62054739011626</v>
      </c>
      <c r="K12" s="11">
        <f t="shared" ref="K12:K22" si="6">PMT($B$5,$B$6,-$B$3)</f>
        <v>897.40072510212769</v>
      </c>
    </row>
    <row r="13" spans="1:11" x14ac:dyDescent="0.25">
      <c r="A13">
        <v>3</v>
      </c>
      <c r="B13" s="3">
        <f t="shared" si="0"/>
        <v>7499.9999999999991</v>
      </c>
      <c r="C13" s="3">
        <f t="shared" ref="C12:C75" si="7">B12*$B$5</f>
        <v>96.527777777777771</v>
      </c>
      <c r="D13" s="3">
        <f t="shared" si="1"/>
        <v>833.33333333333337</v>
      </c>
      <c r="E13" s="3">
        <f t="shared" si="2"/>
        <v>929.86111111111109</v>
      </c>
      <c r="G13">
        <v>3</v>
      </c>
      <c r="H13" s="3">
        <f t="shared" si="3"/>
        <v>7628.0334921103713</v>
      </c>
      <c r="I13" s="3">
        <f t="shared" si="4"/>
        <v>97.622156371409304</v>
      </c>
      <c r="J13" s="11">
        <f t="shared" si="5"/>
        <v>799.77856873071835</v>
      </c>
      <c r="K13" s="11">
        <f t="shared" si="6"/>
        <v>897.40072510212769</v>
      </c>
    </row>
    <row r="14" spans="1:11" x14ac:dyDescent="0.25">
      <c r="A14">
        <v>4</v>
      </c>
      <c r="B14" s="3">
        <f t="shared" si="0"/>
        <v>6666.6666666666661</v>
      </c>
      <c r="C14" s="3">
        <f t="shared" si="7"/>
        <v>86.875</v>
      </c>
      <c r="D14" s="3">
        <f t="shared" si="1"/>
        <v>833.33333333333337</v>
      </c>
      <c r="E14" s="3">
        <f t="shared" si="2"/>
        <v>920.20833333333337</v>
      </c>
      <c r="G14">
        <v>4</v>
      </c>
      <c r="H14" s="3">
        <f t="shared" si="3"/>
        <v>6818.9908216251888</v>
      </c>
      <c r="I14" s="3">
        <f t="shared" si="4"/>
        <v>88.35805461694514</v>
      </c>
      <c r="J14" s="11">
        <f t="shared" si="5"/>
        <v>809.0426704851825</v>
      </c>
      <c r="K14" s="11">
        <f t="shared" si="6"/>
        <v>897.40072510212769</v>
      </c>
    </row>
    <row r="15" spans="1:11" x14ac:dyDescent="0.25">
      <c r="A15">
        <v>5</v>
      </c>
      <c r="B15" s="3">
        <f t="shared" si="0"/>
        <v>5833.333333333333</v>
      </c>
      <c r="C15" s="3">
        <f t="shared" si="7"/>
        <v>77.222222222222229</v>
      </c>
      <c r="D15" s="3">
        <f t="shared" si="1"/>
        <v>833.33333333333337</v>
      </c>
      <c r="E15" s="3">
        <f t="shared" si="2"/>
        <v>910.55555555555566</v>
      </c>
      <c r="G15">
        <v>5</v>
      </c>
      <c r="H15" s="3">
        <f t="shared" si="3"/>
        <v>6000.5767402068859</v>
      </c>
      <c r="I15" s="3">
        <f t="shared" si="4"/>
        <v>78.986643683825108</v>
      </c>
      <c r="J15" s="11">
        <f t="shared" si="5"/>
        <v>818.41408141830254</v>
      </c>
      <c r="K15" s="11">
        <f t="shared" si="6"/>
        <v>897.40072510212769</v>
      </c>
    </row>
    <row r="16" spans="1:11" x14ac:dyDescent="0.25">
      <c r="A16">
        <v>6</v>
      </c>
      <c r="B16" s="3">
        <f t="shared" si="0"/>
        <v>5000</v>
      </c>
      <c r="C16" s="3">
        <f t="shared" si="7"/>
        <v>67.569444444444443</v>
      </c>
      <c r="D16" s="3">
        <f t="shared" si="1"/>
        <v>833.33333333333337</v>
      </c>
      <c r="E16" s="3">
        <f t="shared" si="2"/>
        <v>900.90277777777783</v>
      </c>
      <c r="G16">
        <v>6</v>
      </c>
      <c r="H16" s="3">
        <f t="shared" si="3"/>
        <v>5172.6826956788209</v>
      </c>
      <c r="I16" s="3">
        <f t="shared" si="4"/>
        <v>69.506680574063097</v>
      </c>
      <c r="J16" s="11">
        <f t="shared" si="5"/>
        <v>827.89404452806457</v>
      </c>
      <c r="K16" s="11">
        <f t="shared" si="6"/>
        <v>897.40072510212769</v>
      </c>
    </row>
    <row r="17" spans="1:11" x14ac:dyDescent="0.25">
      <c r="A17">
        <v>7</v>
      </c>
      <c r="B17" s="3">
        <f t="shared" si="0"/>
        <v>4166.666666666667</v>
      </c>
      <c r="C17" s="3">
        <f t="shared" si="7"/>
        <v>57.916666666666671</v>
      </c>
      <c r="D17" s="3">
        <f t="shared" si="1"/>
        <v>833.33333333333337</v>
      </c>
      <c r="E17" s="3">
        <f t="shared" si="2"/>
        <v>891.25</v>
      </c>
      <c r="G17">
        <v>7</v>
      </c>
      <c r="H17" s="3">
        <f t="shared" si="3"/>
        <v>4335.1988784683062</v>
      </c>
      <c r="I17" s="3">
        <f t="shared" si="4"/>
        <v>59.916907891613015</v>
      </c>
      <c r="J17" s="11">
        <f t="shared" si="5"/>
        <v>837.48381721051464</v>
      </c>
      <c r="K17" s="11">
        <f t="shared" si="6"/>
        <v>897.40072510212769</v>
      </c>
    </row>
    <row r="18" spans="1:11" x14ac:dyDescent="0.25">
      <c r="A18">
        <v>8</v>
      </c>
      <c r="B18" s="3">
        <f t="shared" si="0"/>
        <v>3333.3333333333335</v>
      </c>
      <c r="C18" s="3">
        <f t="shared" si="7"/>
        <v>48.2638888888889</v>
      </c>
      <c r="D18" s="3">
        <f t="shared" si="1"/>
        <v>833.33333333333337</v>
      </c>
      <c r="E18" s="3">
        <f t="shared" si="2"/>
        <v>881.59722222222229</v>
      </c>
      <c r="G18">
        <v>8</v>
      </c>
      <c r="H18" s="3">
        <f t="shared" si="3"/>
        <v>3488.0142070417696</v>
      </c>
      <c r="I18" s="3">
        <f t="shared" si="4"/>
        <v>50.216053675591219</v>
      </c>
      <c r="J18" s="11">
        <f t="shared" si="5"/>
        <v>847.18467142653651</v>
      </c>
      <c r="K18" s="11">
        <f t="shared" si="6"/>
        <v>897.40072510212769</v>
      </c>
    </row>
    <row r="19" spans="1:11" x14ac:dyDescent="0.25">
      <c r="A19">
        <v>9</v>
      </c>
      <c r="B19" s="3">
        <f t="shared" si="0"/>
        <v>2500</v>
      </c>
      <c r="C19" s="3">
        <f t="shared" si="7"/>
        <v>38.611111111111114</v>
      </c>
      <c r="D19" s="3">
        <f t="shared" si="1"/>
        <v>833.33333333333337</v>
      </c>
      <c r="E19" s="3">
        <f t="shared" si="2"/>
        <v>871.94444444444446</v>
      </c>
      <c r="G19">
        <v>9</v>
      </c>
      <c r="H19" s="3">
        <f t="shared" si="3"/>
        <v>2631.0163131712088</v>
      </c>
      <c r="I19" s="3">
        <f t="shared" si="4"/>
        <v>40.40283123156717</v>
      </c>
      <c r="J19" s="11">
        <f t="shared" si="5"/>
        <v>856.99789387056057</v>
      </c>
      <c r="K19" s="11">
        <f t="shared" si="6"/>
        <v>897.40072510212769</v>
      </c>
    </row>
    <row r="20" spans="1:11" x14ac:dyDescent="0.25">
      <c r="A20">
        <v>10</v>
      </c>
      <c r="B20" s="3">
        <f t="shared" si="0"/>
        <v>1666.6666666666665</v>
      </c>
      <c r="C20" s="3">
        <f t="shared" si="7"/>
        <v>28.958333333333336</v>
      </c>
      <c r="D20" s="3">
        <f t="shared" si="1"/>
        <v>833.33333333333337</v>
      </c>
      <c r="E20" s="3">
        <f t="shared" si="2"/>
        <v>862.29166666666674</v>
      </c>
      <c r="G20">
        <v>10</v>
      </c>
      <c r="H20" s="3">
        <f t="shared" si="3"/>
        <v>1764.0915270299811</v>
      </c>
      <c r="I20" s="3">
        <f t="shared" si="4"/>
        <v>30.475938960899839</v>
      </c>
      <c r="J20" s="11">
        <f t="shared" si="5"/>
        <v>866.92478614122786</v>
      </c>
      <c r="K20" s="11">
        <f t="shared" si="6"/>
        <v>897.40072510212769</v>
      </c>
    </row>
    <row r="21" spans="1:11" x14ac:dyDescent="0.25">
      <c r="A21">
        <v>11</v>
      </c>
      <c r="B21" s="3">
        <f t="shared" si="0"/>
        <v>833.33333333333314</v>
      </c>
      <c r="C21" s="3">
        <f t="shared" si="7"/>
        <v>19.305555555555557</v>
      </c>
      <c r="D21" s="3">
        <f t="shared" si="1"/>
        <v>833.33333333333337</v>
      </c>
      <c r="E21" s="3">
        <f t="shared" si="2"/>
        <v>852.63888888888891</v>
      </c>
      <c r="G21">
        <v>11</v>
      </c>
      <c r="H21" s="3">
        <f t="shared" si="3"/>
        <v>887.12486211595069</v>
      </c>
      <c r="I21" s="3">
        <f t="shared" si="4"/>
        <v>20.434060188097284</v>
      </c>
      <c r="J21" s="11">
        <f t="shared" si="5"/>
        <v>876.96666491403039</v>
      </c>
      <c r="K21" s="11">
        <f t="shared" si="6"/>
        <v>897.40072510212769</v>
      </c>
    </row>
    <row r="22" spans="1:11" x14ac:dyDescent="0.25">
      <c r="A22">
        <v>12</v>
      </c>
      <c r="B22" s="3">
        <f t="shared" si="0"/>
        <v>0</v>
      </c>
      <c r="C22" s="3">
        <f t="shared" si="7"/>
        <v>9.6527777777777768</v>
      </c>
      <c r="D22" s="3">
        <f t="shared" si="1"/>
        <v>833.33333333333337</v>
      </c>
      <c r="E22" s="3">
        <f t="shared" si="2"/>
        <v>842.9861111111112</v>
      </c>
      <c r="G22">
        <v>12</v>
      </c>
      <c r="H22" s="3">
        <f t="shared" si="3"/>
        <v>0</v>
      </c>
      <c r="I22" s="3">
        <f t="shared" si="4"/>
        <v>10.275862986176429</v>
      </c>
      <c r="J22" s="11">
        <f t="shared" si="5"/>
        <v>887.12486211595126</v>
      </c>
      <c r="K22" s="11">
        <f t="shared" si="6"/>
        <v>897.40072510212769</v>
      </c>
    </row>
    <row r="23" spans="1:11" x14ac:dyDescent="0.25">
      <c r="B23" s="3"/>
      <c r="C23" s="3"/>
      <c r="D23" s="3"/>
      <c r="E23" s="3"/>
    </row>
    <row r="24" spans="1:11" x14ac:dyDescent="0.25">
      <c r="B24" s="3"/>
      <c r="C24" s="3"/>
      <c r="D24" s="3" t="s">
        <v>27</v>
      </c>
      <c r="E24" s="3">
        <f>SUM(E11:E22)</f>
        <v>10752.916666666668</v>
      </c>
      <c r="J24" t="s">
        <v>27</v>
      </c>
      <c r="K24" s="11">
        <f>SUM(K11:K22)</f>
        <v>10768.808701225535</v>
      </c>
    </row>
    <row r="25" spans="1:11" x14ac:dyDescent="0.25">
      <c r="B25" s="3"/>
      <c r="C25" s="3"/>
      <c r="D25" s="3"/>
      <c r="E25" s="3"/>
    </row>
    <row r="26" spans="1:11" x14ac:dyDescent="0.25">
      <c r="B26" s="3"/>
      <c r="C26" s="3"/>
      <c r="D26" s="3"/>
      <c r="E26" s="3"/>
    </row>
    <row r="27" spans="1:11" x14ac:dyDescent="0.25">
      <c r="B27" s="3"/>
      <c r="C27" s="3"/>
      <c r="D27" s="3"/>
      <c r="E27" s="3"/>
    </row>
    <row r="28" spans="1:11" x14ac:dyDescent="0.25">
      <c r="B28" s="3"/>
      <c r="C28" s="3"/>
      <c r="D28" s="3"/>
      <c r="E28" s="3"/>
    </row>
    <row r="29" spans="1:11" x14ac:dyDescent="0.25">
      <c r="B29" s="3"/>
      <c r="C29" s="3"/>
      <c r="D29" s="3"/>
      <c r="E29" s="3"/>
    </row>
    <row r="30" spans="1:11" x14ac:dyDescent="0.25">
      <c r="B30" s="3"/>
      <c r="C30" s="3"/>
      <c r="D30" s="3"/>
      <c r="E30" s="3"/>
    </row>
    <row r="31" spans="1:11" x14ac:dyDescent="0.25">
      <c r="B31" s="3"/>
      <c r="C31" s="3"/>
      <c r="D31" s="3"/>
      <c r="E31" s="3"/>
    </row>
    <row r="32" spans="1:11" x14ac:dyDescent="0.25">
      <c r="B32" s="3"/>
      <c r="C32" s="3"/>
      <c r="D32" s="3"/>
      <c r="E32" s="3"/>
    </row>
    <row r="33" spans="2:5" x14ac:dyDescent="0.25">
      <c r="B33" s="3"/>
      <c r="C33" s="3"/>
      <c r="D33" s="3"/>
      <c r="E33" s="3"/>
    </row>
    <row r="34" spans="2:5" x14ac:dyDescent="0.25">
      <c r="B34" s="3"/>
      <c r="C34" s="3"/>
      <c r="D34" s="3"/>
      <c r="E34" s="3"/>
    </row>
    <row r="35" spans="2:5" x14ac:dyDescent="0.25">
      <c r="B35" s="3"/>
      <c r="C35" s="3"/>
      <c r="D35" s="3"/>
      <c r="E35" s="3"/>
    </row>
    <row r="36" spans="2:5" x14ac:dyDescent="0.25">
      <c r="B36" s="3"/>
      <c r="C36" s="3"/>
      <c r="D36" s="3"/>
      <c r="E36" s="3"/>
    </row>
    <row r="37" spans="2:5" x14ac:dyDescent="0.25">
      <c r="B37" s="3"/>
      <c r="C37" s="3"/>
      <c r="D37" s="3"/>
      <c r="E37" s="3"/>
    </row>
    <row r="38" spans="2:5" x14ac:dyDescent="0.25">
      <c r="B38" s="3"/>
      <c r="C38" s="3"/>
      <c r="D38" s="3"/>
      <c r="E38" s="3"/>
    </row>
    <row r="39" spans="2:5" x14ac:dyDescent="0.25">
      <c r="B39" s="3"/>
      <c r="C39" s="3"/>
      <c r="D39" s="3"/>
      <c r="E39" s="3"/>
    </row>
    <row r="40" spans="2:5" x14ac:dyDescent="0.25">
      <c r="B40" s="3"/>
      <c r="C40" s="3"/>
      <c r="D40" s="3"/>
      <c r="E40" s="3"/>
    </row>
    <row r="41" spans="2:5" x14ac:dyDescent="0.25">
      <c r="B41" s="3"/>
      <c r="C41" s="3"/>
      <c r="D41" s="3"/>
      <c r="E41" s="3"/>
    </row>
    <row r="42" spans="2:5" x14ac:dyDescent="0.25">
      <c r="B42" s="3"/>
      <c r="C42" s="3"/>
      <c r="D42" s="3"/>
      <c r="E42" s="3"/>
    </row>
    <row r="43" spans="2:5" x14ac:dyDescent="0.25">
      <c r="B43" s="3"/>
      <c r="C43" s="3"/>
      <c r="D43" s="3"/>
      <c r="E43" s="3"/>
    </row>
    <row r="44" spans="2:5" x14ac:dyDescent="0.25">
      <c r="B44" s="3"/>
      <c r="C44" s="3"/>
      <c r="D44" s="3"/>
      <c r="E44" s="3"/>
    </row>
    <row r="45" spans="2:5" x14ac:dyDescent="0.25">
      <c r="B45" s="3"/>
      <c r="C45" s="3"/>
      <c r="D45" s="3"/>
      <c r="E45" s="3"/>
    </row>
    <row r="46" spans="2:5" x14ac:dyDescent="0.25">
      <c r="B46" s="3"/>
      <c r="C46" s="3"/>
      <c r="D46" s="3"/>
      <c r="E46" s="3"/>
    </row>
    <row r="47" spans="2:5" x14ac:dyDescent="0.25">
      <c r="B47" s="3"/>
      <c r="C47" s="3"/>
      <c r="D47" s="3"/>
      <c r="E47" s="3"/>
    </row>
    <row r="48" spans="2:5" x14ac:dyDescent="0.25">
      <c r="B48" s="3"/>
      <c r="C48" s="3"/>
      <c r="D48" s="3"/>
      <c r="E48" s="3"/>
    </row>
    <row r="49" spans="2:5" x14ac:dyDescent="0.25">
      <c r="B49" s="3"/>
      <c r="C49" s="3"/>
      <c r="D49" s="3"/>
      <c r="E49" s="3"/>
    </row>
    <row r="50" spans="2:5" x14ac:dyDescent="0.25">
      <c r="B50" s="3"/>
      <c r="C50" s="3"/>
      <c r="D50" s="3"/>
      <c r="E50" s="3"/>
    </row>
    <row r="51" spans="2:5" x14ac:dyDescent="0.25">
      <c r="B51" s="3"/>
      <c r="C51" s="3"/>
      <c r="D51" s="3"/>
      <c r="E51" s="3"/>
    </row>
    <row r="52" spans="2:5" x14ac:dyDescent="0.25">
      <c r="B52" s="3"/>
      <c r="C52" s="3"/>
      <c r="D52" s="3"/>
      <c r="E52" s="3"/>
    </row>
    <row r="53" spans="2:5" x14ac:dyDescent="0.25">
      <c r="B53" s="3"/>
      <c r="C53" s="3"/>
      <c r="D53" s="3"/>
      <c r="E53" s="3"/>
    </row>
    <row r="54" spans="2:5" x14ac:dyDescent="0.25">
      <c r="B54" s="3"/>
      <c r="C54" s="3"/>
      <c r="D54" s="3"/>
      <c r="E54" s="3"/>
    </row>
    <row r="55" spans="2:5" x14ac:dyDescent="0.25">
      <c r="B55" s="3"/>
      <c r="C55" s="3"/>
      <c r="D55" s="3"/>
      <c r="E55" s="3"/>
    </row>
    <row r="56" spans="2:5" x14ac:dyDescent="0.25">
      <c r="B56" s="3"/>
      <c r="C56" s="3"/>
      <c r="D56" s="3"/>
      <c r="E56" s="3"/>
    </row>
    <row r="57" spans="2:5" x14ac:dyDescent="0.25">
      <c r="B57" s="3"/>
      <c r="C57" s="3"/>
      <c r="D57" s="3"/>
      <c r="E57" s="3"/>
    </row>
    <row r="58" spans="2:5" x14ac:dyDescent="0.25">
      <c r="B58" s="3"/>
      <c r="C58" s="3"/>
      <c r="D58" s="3"/>
      <c r="E58" s="3"/>
    </row>
    <row r="59" spans="2:5" x14ac:dyDescent="0.25">
      <c r="B59" s="3"/>
      <c r="C59" s="3"/>
      <c r="D59" s="3"/>
      <c r="E59" s="3"/>
    </row>
    <row r="60" spans="2:5" x14ac:dyDescent="0.25">
      <c r="B60" s="3"/>
      <c r="C60" s="3"/>
      <c r="D60" s="3"/>
      <c r="E60" s="3"/>
    </row>
    <row r="61" spans="2:5" x14ac:dyDescent="0.25">
      <c r="B61" s="3"/>
      <c r="C61" s="3"/>
      <c r="D61" s="3"/>
      <c r="E61" s="3"/>
    </row>
    <row r="62" spans="2:5" x14ac:dyDescent="0.25">
      <c r="B62" s="3"/>
      <c r="C62" s="3"/>
      <c r="D62" s="3"/>
      <c r="E62" s="3"/>
    </row>
    <row r="63" spans="2:5" x14ac:dyDescent="0.25">
      <c r="B63" s="3"/>
      <c r="C63" s="3"/>
      <c r="D63" s="3"/>
      <c r="E63" s="3"/>
    </row>
    <row r="64" spans="2:5" x14ac:dyDescent="0.25">
      <c r="B64" s="3"/>
      <c r="C64" s="3"/>
      <c r="D64" s="3"/>
      <c r="E64" s="3"/>
    </row>
    <row r="65" spans="2:5" x14ac:dyDescent="0.25">
      <c r="B65" s="3"/>
      <c r="C65" s="3"/>
      <c r="D65" s="3"/>
      <c r="E65" s="3"/>
    </row>
    <row r="66" spans="2:5" x14ac:dyDescent="0.25">
      <c r="B66" s="3"/>
      <c r="C66" s="3"/>
      <c r="D66" s="3"/>
      <c r="E66" s="3"/>
    </row>
    <row r="67" spans="2:5" x14ac:dyDescent="0.25">
      <c r="B67" s="3"/>
      <c r="C67" s="3"/>
      <c r="D67" s="3"/>
      <c r="E67" s="3"/>
    </row>
    <row r="68" spans="2:5" x14ac:dyDescent="0.25">
      <c r="B68" s="3"/>
      <c r="C68" s="3"/>
      <c r="D68" s="3"/>
      <c r="E68" s="3"/>
    </row>
    <row r="69" spans="2:5" x14ac:dyDescent="0.25">
      <c r="B69" s="3"/>
      <c r="C69" s="3"/>
      <c r="D69" s="3"/>
      <c r="E69" s="3"/>
    </row>
    <row r="70" spans="2:5" x14ac:dyDescent="0.25">
      <c r="B70" s="3"/>
      <c r="C70" s="3"/>
      <c r="D70" s="3"/>
      <c r="E70" s="3"/>
    </row>
    <row r="71" spans="2:5" x14ac:dyDescent="0.25">
      <c r="B71" s="3"/>
      <c r="C71" s="3"/>
      <c r="D71" s="3"/>
      <c r="E71" s="3"/>
    </row>
    <row r="72" spans="2:5" x14ac:dyDescent="0.25">
      <c r="B72" s="3"/>
      <c r="C72" s="3"/>
      <c r="D72" s="3"/>
      <c r="E72" s="3"/>
    </row>
    <row r="73" spans="2:5" x14ac:dyDescent="0.25">
      <c r="B73" s="3"/>
      <c r="C73" s="3"/>
      <c r="D73" s="3"/>
      <c r="E73" s="3"/>
    </row>
    <row r="74" spans="2:5" x14ac:dyDescent="0.25">
      <c r="B74" s="3"/>
      <c r="C74" s="3"/>
      <c r="D74" s="3"/>
      <c r="E74" s="3"/>
    </row>
    <row r="75" spans="2:5" x14ac:dyDescent="0.25">
      <c r="B75" s="3"/>
      <c r="C75" s="3"/>
      <c r="D75" s="3"/>
      <c r="E75" s="3"/>
    </row>
    <row r="76" spans="2:5" x14ac:dyDescent="0.25">
      <c r="B76" s="3"/>
      <c r="C76" s="3"/>
      <c r="D76" s="3"/>
      <c r="E76" s="3"/>
    </row>
    <row r="77" spans="2:5" x14ac:dyDescent="0.25">
      <c r="B77" s="3"/>
      <c r="C77" s="3"/>
      <c r="D77" s="3"/>
      <c r="E77" s="3"/>
    </row>
    <row r="78" spans="2:5" x14ac:dyDescent="0.25">
      <c r="B78" s="3"/>
      <c r="C78" s="3"/>
      <c r="D78" s="3"/>
      <c r="E78" s="3"/>
    </row>
    <row r="79" spans="2:5" x14ac:dyDescent="0.25">
      <c r="B79" s="3"/>
      <c r="C79" s="3"/>
      <c r="D79" s="3"/>
      <c r="E79" s="3"/>
    </row>
    <row r="80" spans="2:5" x14ac:dyDescent="0.25">
      <c r="B80" s="3"/>
      <c r="C80" s="3"/>
      <c r="D80" s="3"/>
      <c r="E80" s="3"/>
    </row>
    <row r="81" spans="2:5" x14ac:dyDescent="0.25">
      <c r="B81" s="3"/>
      <c r="C81" s="3"/>
      <c r="D81" s="3"/>
      <c r="E81" s="3"/>
    </row>
    <row r="82" spans="2:5" x14ac:dyDescent="0.25">
      <c r="B82" s="3"/>
      <c r="C82" s="3"/>
      <c r="D82" s="3"/>
      <c r="E82" s="3"/>
    </row>
    <row r="83" spans="2:5" x14ac:dyDescent="0.25">
      <c r="B83" s="3"/>
      <c r="C83" s="3"/>
      <c r="D83" s="3"/>
      <c r="E83" s="3"/>
    </row>
    <row r="84" spans="2:5" x14ac:dyDescent="0.25">
      <c r="B84" s="3"/>
      <c r="C84" s="3"/>
      <c r="D84" s="3"/>
      <c r="E84" s="3"/>
    </row>
    <row r="85" spans="2:5" x14ac:dyDescent="0.25">
      <c r="B85" s="3"/>
      <c r="C85" s="3"/>
      <c r="D85" s="3"/>
      <c r="E85" s="3"/>
    </row>
    <row r="86" spans="2:5" x14ac:dyDescent="0.25">
      <c r="B86" s="3"/>
      <c r="C86" s="3"/>
      <c r="D86" s="3"/>
      <c r="E86" s="3"/>
    </row>
    <row r="87" spans="2:5" x14ac:dyDescent="0.25">
      <c r="B87" s="3"/>
      <c r="C87" s="3"/>
      <c r="D87" s="3"/>
      <c r="E87" s="3"/>
    </row>
    <row r="88" spans="2:5" x14ac:dyDescent="0.25">
      <c r="B88" s="3"/>
      <c r="C88" s="3"/>
      <c r="D88" s="3"/>
      <c r="E88" s="3"/>
    </row>
    <row r="89" spans="2:5" x14ac:dyDescent="0.25">
      <c r="B89" s="3"/>
      <c r="C89" s="3"/>
      <c r="D89" s="3"/>
      <c r="E89" s="3"/>
    </row>
    <row r="90" spans="2:5" x14ac:dyDescent="0.25">
      <c r="B90" s="3"/>
      <c r="C90" s="3"/>
      <c r="D90" s="3"/>
      <c r="E90" s="3"/>
    </row>
    <row r="91" spans="2:5" x14ac:dyDescent="0.25">
      <c r="B91" s="3"/>
      <c r="C91" s="3"/>
      <c r="D91" s="3"/>
      <c r="E91" s="3"/>
    </row>
    <row r="92" spans="2:5" x14ac:dyDescent="0.25">
      <c r="B92" s="3"/>
      <c r="C92" s="3"/>
      <c r="D92" s="3"/>
      <c r="E92" s="3"/>
    </row>
    <row r="93" spans="2:5" x14ac:dyDescent="0.25">
      <c r="B93" s="3"/>
      <c r="C93" s="3"/>
      <c r="D93" s="3"/>
      <c r="E93" s="3"/>
    </row>
    <row r="94" spans="2:5" x14ac:dyDescent="0.25">
      <c r="B94" s="3"/>
      <c r="C94" s="3"/>
      <c r="D94" s="3"/>
      <c r="E94" s="3"/>
    </row>
    <row r="95" spans="2:5" x14ac:dyDescent="0.25">
      <c r="B95" s="3"/>
      <c r="C95" s="3"/>
      <c r="D95" s="3"/>
      <c r="E95" s="3"/>
    </row>
    <row r="96" spans="2:5" x14ac:dyDescent="0.25">
      <c r="B96" s="3"/>
      <c r="C96" s="3"/>
      <c r="D96" s="3"/>
      <c r="E96" s="3"/>
    </row>
    <row r="97" spans="2:5" x14ac:dyDescent="0.25">
      <c r="B97" s="3"/>
      <c r="C97" s="3"/>
      <c r="D97" s="3"/>
      <c r="E97" s="3"/>
    </row>
    <row r="98" spans="2:5" x14ac:dyDescent="0.25">
      <c r="B98" s="3"/>
      <c r="C98" s="3"/>
      <c r="D98" s="3"/>
      <c r="E98" s="3"/>
    </row>
    <row r="99" spans="2:5" x14ac:dyDescent="0.25">
      <c r="B99" s="3"/>
      <c r="C99" s="3"/>
      <c r="D99" s="3"/>
      <c r="E99" s="3"/>
    </row>
    <row r="100" spans="2:5" x14ac:dyDescent="0.25">
      <c r="B100" s="3"/>
      <c r="C100" s="3"/>
      <c r="D100" s="3"/>
      <c r="E100" s="3"/>
    </row>
    <row r="101" spans="2:5" x14ac:dyDescent="0.25">
      <c r="B101" s="3"/>
      <c r="C101" s="3"/>
      <c r="D101" s="3"/>
      <c r="E101" s="3"/>
    </row>
    <row r="102" spans="2:5" x14ac:dyDescent="0.25">
      <c r="B102" s="3"/>
      <c r="C102" s="3"/>
      <c r="D102" s="3"/>
      <c r="E102" s="3"/>
    </row>
    <row r="103" spans="2:5" x14ac:dyDescent="0.25">
      <c r="B103" s="3"/>
      <c r="C103" s="3"/>
      <c r="D103" s="3"/>
      <c r="E103" s="3"/>
    </row>
    <row r="104" spans="2:5" x14ac:dyDescent="0.25">
      <c r="B104" s="3"/>
      <c r="C104" s="3"/>
      <c r="D104" s="3"/>
      <c r="E104" s="3"/>
    </row>
    <row r="105" spans="2:5" x14ac:dyDescent="0.25">
      <c r="B105" s="3"/>
      <c r="C105" s="3"/>
      <c r="D105" s="3"/>
      <c r="E105" s="3"/>
    </row>
    <row r="106" spans="2:5" x14ac:dyDescent="0.25">
      <c r="B106" s="3"/>
      <c r="C106" s="3"/>
      <c r="D106" s="3"/>
      <c r="E106" s="3"/>
    </row>
    <row r="107" spans="2:5" x14ac:dyDescent="0.25">
      <c r="B107" s="3"/>
      <c r="C107" s="3"/>
      <c r="D107" s="3"/>
      <c r="E107" s="3"/>
    </row>
    <row r="108" spans="2:5" x14ac:dyDescent="0.25">
      <c r="B108" s="3"/>
      <c r="C108" s="3"/>
      <c r="D108" s="3"/>
      <c r="E108" s="3"/>
    </row>
    <row r="109" spans="2:5" x14ac:dyDescent="0.25">
      <c r="B109" s="3"/>
      <c r="C109" s="3"/>
      <c r="D109" s="3"/>
      <c r="E109" s="3"/>
    </row>
    <row r="110" spans="2:5" x14ac:dyDescent="0.25">
      <c r="B110" s="3"/>
      <c r="C110" s="3"/>
      <c r="D110" s="3"/>
      <c r="E110" s="3"/>
    </row>
    <row r="111" spans="2:5" x14ac:dyDescent="0.25">
      <c r="B111" s="3"/>
      <c r="C111" s="3"/>
      <c r="D111" s="3"/>
      <c r="E111" s="3"/>
    </row>
    <row r="112" spans="2:5" x14ac:dyDescent="0.25">
      <c r="B112" s="3"/>
      <c r="C112" s="3"/>
      <c r="D112" s="3"/>
      <c r="E112" s="3"/>
    </row>
    <row r="113" spans="2:5" x14ac:dyDescent="0.25">
      <c r="B113" s="3"/>
      <c r="C113" s="3"/>
      <c r="D113" s="3"/>
      <c r="E113" s="3"/>
    </row>
    <row r="114" spans="2:5" x14ac:dyDescent="0.25">
      <c r="B114" s="3"/>
      <c r="C114" s="3"/>
      <c r="D114" s="3"/>
      <c r="E114" s="3"/>
    </row>
    <row r="115" spans="2:5" x14ac:dyDescent="0.25">
      <c r="B115" s="3"/>
      <c r="C115" s="3"/>
      <c r="D115" s="3"/>
      <c r="E115" s="3"/>
    </row>
    <row r="116" spans="2:5" x14ac:dyDescent="0.25">
      <c r="B116" s="3"/>
      <c r="C116" s="3"/>
      <c r="D116" s="3"/>
      <c r="E116" s="3"/>
    </row>
    <row r="117" spans="2:5" x14ac:dyDescent="0.25">
      <c r="B117" s="3"/>
      <c r="C117" s="3"/>
      <c r="D117" s="3"/>
      <c r="E117" s="3"/>
    </row>
    <row r="118" spans="2:5" x14ac:dyDescent="0.25">
      <c r="B118" s="3"/>
      <c r="C118" s="3"/>
      <c r="D118" s="3"/>
      <c r="E118" s="3"/>
    </row>
    <row r="119" spans="2:5" x14ac:dyDescent="0.25">
      <c r="B119" s="3"/>
      <c r="C119" s="3"/>
      <c r="D119" s="3"/>
      <c r="E119" s="3"/>
    </row>
    <row r="120" spans="2:5" x14ac:dyDescent="0.25">
      <c r="B120" s="3"/>
      <c r="C120" s="3"/>
      <c r="D120" s="3"/>
      <c r="E120" s="3"/>
    </row>
    <row r="121" spans="2:5" x14ac:dyDescent="0.25">
      <c r="B121" s="3"/>
      <c r="C121" s="3"/>
      <c r="D121" s="3"/>
      <c r="E121" s="3"/>
    </row>
    <row r="122" spans="2:5" x14ac:dyDescent="0.25">
      <c r="B122" s="3"/>
      <c r="C122" s="3"/>
      <c r="D122" s="3"/>
      <c r="E122" s="3"/>
    </row>
    <row r="123" spans="2:5" x14ac:dyDescent="0.25">
      <c r="B123" s="3"/>
      <c r="C123" s="3"/>
      <c r="D123" s="3"/>
      <c r="E123" s="3"/>
    </row>
    <row r="124" spans="2:5" x14ac:dyDescent="0.25">
      <c r="B124" s="3"/>
      <c r="C124" s="3"/>
      <c r="D124" s="3"/>
      <c r="E124" s="3"/>
    </row>
    <row r="125" spans="2:5" x14ac:dyDescent="0.25">
      <c r="B125" s="3"/>
      <c r="C125" s="3"/>
      <c r="D125" s="3"/>
      <c r="E125" s="3"/>
    </row>
    <row r="126" spans="2:5" x14ac:dyDescent="0.25">
      <c r="B126" s="3"/>
      <c r="C126" s="3"/>
      <c r="D126" s="3"/>
      <c r="E126" s="3"/>
    </row>
    <row r="127" spans="2:5" x14ac:dyDescent="0.25">
      <c r="B127" s="3"/>
      <c r="C127" s="3"/>
      <c r="D127" s="3"/>
      <c r="E127" s="3"/>
    </row>
    <row r="128" spans="2:5" x14ac:dyDescent="0.25">
      <c r="B128" s="3"/>
      <c r="C128" s="3"/>
      <c r="D128" s="3"/>
      <c r="E128" s="3"/>
    </row>
    <row r="129" spans="2:5" x14ac:dyDescent="0.25">
      <c r="B129" s="3"/>
      <c r="C129" s="3"/>
      <c r="D129" s="3"/>
      <c r="E129" s="3"/>
    </row>
    <row r="130" spans="2:5" x14ac:dyDescent="0.25">
      <c r="B130" s="3"/>
      <c r="C130" s="3"/>
      <c r="D130" s="3"/>
      <c r="E130" s="3"/>
    </row>
    <row r="131" spans="2:5" x14ac:dyDescent="0.25">
      <c r="B131" s="3"/>
      <c r="C131" s="3"/>
      <c r="D131" s="3"/>
      <c r="E131" s="3"/>
    </row>
    <row r="132" spans="2:5" x14ac:dyDescent="0.25">
      <c r="B132" s="3"/>
      <c r="C132" s="3"/>
      <c r="D132" s="3"/>
      <c r="E132" s="3"/>
    </row>
    <row r="133" spans="2:5" x14ac:dyDescent="0.25">
      <c r="B133" s="3"/>
      <c r="C133" s="3"/>
      <c r="D133" s="3"/>
      <c r="E133" s="3"/>
    </row>
    <row r="134" spans="2:5" x14ac:dyDescent="0.25">
      <c r="B134" s="3"/>
      <c r="C134" s="3"/>
      <c r="D134" s="3"/>
      <c r="E134" s="3"/>
    </row>
    <row r="135" spans="2:5" x14ac:dyDescent="0.25">
      <c r="B135" s="3"/>
      <c r="C135" s="3"/>
      <c r="D135" s="3"/>
      <c r="E135" s="3"/>
    </row>
    <row r="136" spans="2:5" x14ac:dyDescent="0.25">
      <c r="B136" s="3"/>
      <c r="C136" s="3"/>
      <c r="D136" s="3"/>
      <c r="E136" s="3"/>
    </row>
    <row r="137" spans="2:5" x14ac:dyDescent="0.25">
      <c r="B137" s="3"/>
      <c r="C137" s="3"/>
      <c r="D137" s="3"/>
      <c r="E137" s="3"/>
    </row>
    <row r="138" spans="2:5" x14ac:dyDescent="0.25">
      <c r="B138" s="3"/>
      <c r="C138" s="3"/>
      <c r="D138" s="3"/>
      <c r="E138" s="3"/>
    </row>
    <row r="139" spans="2:5" x14ac:dyDescent="0.25">
      <c r="B139" s="3"/>
      <c r="C139" s="3"/>
      <c r="D139" s="3"/>
      <c r="E139" s="3"/>
    </row>
    <row r="140" spans="2:5" x14ac:dyDescent="0.25">
      <c r="B140" s="3"/>
      <c r="C140" s="3"/>
      <c r="D140" s="3"/>
      <c r="E140" s="3"/>
    </row>
    <row r="141" spans="2:5" x14ac:dyDescent="0.25">
      <c r="B141" s="3"/>
      <c r="C141" s="3"/>
      <c r="D141" s="3"/>
      <c r="E141" s="3"/>
    </row>
    <row r="142" spans="2:5" x14ac:dyDescent="0.25">
      <c r="B142" s="3"/>
      <c r="C142" s="3"/>
      <c r="D142" s="3"/>
      <c r="E142" s="3"/>
    </row>
    <row r="143" spans="2:5" x14ac:dyDescent="0.25">
      <c r="B143" s="3"/>
      <c r="C143" s="3"/>
      <c r="D143" s="3"/>
      <c r="E143" s="3"/>
    </row>
    <row r="144" spans="2:5" x14ac:dyDescent="0.25">
      <c r="B144" s="3"/>
      <c r="C144" s="3"/>
      <c r="D144" s="3"/>
      <c r="E144" s="3"/>
    </row>
    <row r="145" spans="2:5" x14ac:dyDescent="0.25">
      <c r="B145" s="3"/>
      <c r="C145" s="3"/>
      <c r="D145" s="3"/>
      <c r="E145" s="3"/>
    </row>
    <row r="146" spans="2:5" x14ac:dyDescent="0.25">
      <c r="B146" s="3"/>
      <c r="C146" s="3"/>
      <c r="D146" s="3"/>
      <c r="E146" s="3"/>
    </row>
    <row r="147" spans="2:5" x14ac:dyDescent="0.25">
      <c r="B147" s="3"/>
      <c r="C147" s="3"/>
      <c r="D147" s="3"/>
      <c r="E147" s="3"/>
    </row>
    <row r="148" spans="2:5" x14ac:dyDescent="0.25">
      <c r="B148" s="3"/>
      <c r="C148" s="3"/>
      <c r="D148" s="3"/>
      <c r="E148" s="3"/>
    </row>
    <row r="149" spans="2:5" x14ac:dyDescent="0.25">
      <c r="B149" s="3"/>
      <c r="C149" s="3"/>
      <c r="D149" s="3"/>
      <c r="E149" s="3"/>
    </row>
    <row r="150" spans="2:5" x14ac:dyDescent="0.25">
      <c r="B150" s="3"/>
      <c r="C150" s="3"/>
      <c r="D150" s="3"/>
      <c r="E150" s="3"/>
    </row>
    <row r="151" spans="2:5" x14ac:dyDescent="0.25">
      <c r="B151" s="3"/>
      <c r="C151" s="3"/>
      <c r="D151" s="3"/>
      <c r="E151" s="3"/>
    </row>
    <row r="152" spans="2:5" x14ac:dyDescent="0.25">
      <c r="B152" s="3"/>
      <c r="C152" s="3"/>
      <c r="D152" s="3"/>
      <c r="E152" s="3"/>
    </row>
    <row r="153" spans="2:5" x14ac:dyDescent="0.25">
      <c r="B153" s="3"/>
      <c r="C153" s="3"/>
      <c r="D153" s="3"/>
      <c r="E153" s="3"/>
    </row>
    <row r="154" spans="2:5" x14ac:dyDescent="0.25">
      <c r="B154" s="3"/>
      <c r="C154" s="3"/>
      <c r="D154" s="3"/>
      <c r="E154" s="3"/>
    </row>
    <row r="155" spans="2:5" x14ac:dyDescent="0.25">
      <c r="B155" s="3"/>
      <c r="C155" s="3"/>
      <c r="D155" s="3"/>
      <c r="E155" s="3"/>
    </row>
    <row r="156" spans="2:5" x14ac:dyDescent="0.25">
      <c r="B156" s="3"/>
      <c r="C156" s="3"/>
      <c r="D156" s="3"/>
      <c r="E156" s="3"/>
    </row>
    <row r="157" spans="2:5" x14ac:dyDescent="0.25">
      <c r="B157" s="3"/>
      <c r="C157" s="3"/>
      <c r="D157" s="3"/>
      <c r="E157" s="3"/>
    </row>
    <row r="158" spans="2:5" x14ac:dyDescent="0.25">
      <c r="B158" s="3"/>
      <c r="C158" s="3"/>
      <c r="D158" s="3"/>
      <c r="E158" s="3"/>
    </row>
    <row r="159" spans="2:5" x14ac:dyDescent="0.25">
      <c r="B159" s="3"/>
      <c r="C159" s="3"/>
      <c r="D159" s="3"/>
      <c r="E159" s="3"/>
    </row>
    <row r="160" spans="2:5" x14ac:dyDescent="0.25">
      <c r="B160" s="3"/>
      <c r="C160" s="3"/>
      <c r="D160" s="3"/>
      <c r="E160" s="3"/>
    </row>
    <row r="161" spans="2:5" x14ac:dyDescent="0.25">
      <c r="B161" s="3"/>
      <c r="C161" s="3"/>
      <c r="D161" s="3"/>
      <c r="E161" s="3"/>
    </row>
    <row r="162" spans="2:5" x14ac:dyDescent="0.25">
      <c r="B162" s="3"/>
      <c r="C162" s="3"/>
      <c r="D162" s="3"/>
      <c r="E162" s="3"/>
    </row>
    <row r="163" spans="2:5" x14ac:dyDescent="0.25">
      <c r="B163" s="3"/>
      <c r="C163" s="3"/>
      <c r="D163" s="3"/>
      <c r="E163" s="3"/>
    </row>
    <row r="164" spans="2:5" x14ac:dyDescent="0.25">
      <c r="B164" s="3"/>
      <c r="C164" s="3"/>
      <c r="D164" s="3"/>
      <c r="E164" s="3"/>
    </row>
    <row r="165" spans="2:5" x14ac:dyDescent="0.25">
      <c r="B165" s="3"/>
      <c r="C165" s="3"/>
      <c r="D165" s="3"/>
      <c r="E165" s="3"/>
    </row>
    <row r="166" spans="2:5" x14ac:dyDescent="0.25">
      <c r="B166" s="3"/>
      <c r="C166" s="3"/>
      <c r="D166" s="3"/>
      <c r="E166" s="3"/>
    </row>
    <row r="167" spans="2:5" x14ac:dyDescent="0.25">
      <c r="B167" s="3"/>
      <c r="C167" s="3"/>
      <c r="D167" s="3"/>
      <c r="E167" s="3"/>
    </row>
    <row r="168" spans="2:5" x14ac:dyDescent="0.25">
      <c r="B168" s="3"/>
      <c r="C168" s="3"/>
      <c r="D168" s="3"/>
      <c r="E168" s="3"/>
    </row>
    <row r="169" spans="2:5" x14ac:dyDescent="0.25">
      <c r="B169" s="3"/>
      <c r="C169" s="3"/>
      <c r="D169" s="3"/>
      <c r="E169" s="3"/>
    </row>
    <row r="170" spans="2:5" x14ac:dyDescent="0.25">
      <c r="B170" s="3"/>
      <c r="C170" s="3"/>
      <c r="D170" s="3"/>
      <c r="E170" s="3"/>
    </row>
    <row r="171" spans="2:5" x14ac:dyDescent="0.25">
      <c r="B171" s="3"/>
      <c r="C171" s="3"/>
      <c r="D171" s="3"/>
      <c r="E171" s="3"/>
    </row>
    <row r="172" spans="2:5" x14ac:dyDescent="0.25">
      <c r="B172" s="3"/>
      <c r="C172" s="3"/>
      <c r="D172" s="3"/>
      <c r="E172" s="3"/>
    </row>
    <row r="173" spans="2:5" x14ac:dyDescent="0.25">
      <c r="B173" s="3"/>
      <c r="C173" s="3"/>
      <c r="D173" s="3"/>
      <c r="E173" s="3"/>
    </row>
    <row r="174" spans="2:5" x14ac:dyDescent="0.25">
      <c r="B174" s="3"/>
      <c r="C174" s="3"/>
      <c r="D174" s="3"/>
      <c r="E174" s="3"/>
    </row>
    <row r="175" spans="2:5" x14ac:dyDescent="0.25">
      <c r="B175" s="3"/>
      <c r="C175" s="3"/>
      <c r="D175" s="3"/>
      <c r="E175" s="3"/>
    </row>
    <row r="176" spans="2:5" x14ac:dyDescent="0.25">
      <c r="B176" s="3"/>
      <c r="C176" s="3"/>
      <c r="D176" s="3"/>
      <c r="E176" s="3"/>
    </row>
    <row r="177" spans="2:5" x14ac:dyDescent="0.25">
      <c r="B177" s="3"/>
      <c r="C177" s="3"/>
      <c r="D177" s="3"/>
      <c r="E177" s="3"/>
    </row>
    <row r="178" spans="2:5" x14ac:dyDescent="0.25">
      <c r="B178" s="3"/>
      <c r="C178" s="3"/>
      <c r="D178" s="3"/>
      <c r="E178" s="3"/>
    </row>
    <row r="179" spans="2:5" x14ac:dyDescent="0.25">
      <c r="B179" s="3"/>
      <c r="C179" s="3"/>
      <c r="D179" s="3"/>
      <c r="E179" s="3"/>
    </row>
    <row r="180" spans="2:5" x14ac:dyDescent="0.25">
      <c r="B180" s="3"/>
      <c r="C180" s="3"/>
      <c r="D180" s="3"/>
      <c r="E180" s="3"/>
    </row>
    <row r="181" spans="2:5" x14ac:dyDescent="0.25">
      <c r="B181" s="3"/>
      <c r="C181" s="3"/>
      <c r="D181" s="3"/>
      <c r="E181" s="3"/>
    </row>
    <row r="182" spans="2:5" x14ac:dyDescent="0.25">
      <c r="B182" s="3"/>
      <c r="C182" s="3"/>
      <c r="D182" s="3"/>
      <c r="E182" s="3"/>
    </row>
    <row r="183" spans="2:5" x14ac:dyDescent="0.25">
      <c r="B183" s="3"/>
      <c r="C183" s="3"/>
      <c r="D183" s="3"/>
      <c r="E183" s="3"/>
    </row>
    <row r="184" spans="2:5" x14ac:dyDescent="0.25">
      <c r="B184" s="3"/>
      <c r="C184" s="3"/>
      <c r="D184" s="3"/>
      <c r="E184" s="3"/>
    </row>
    <row r="185" spans="2:5" x14ac:dyDescent="0.25">
      <c r="B185" s="3"/>
      <c r="C185" s="3"/>
      <c r="D185" s="3"/>
      <c r="E185" s="3"/>
    </row>
    <row r="186" spans="2:5" x14ac:dyDescent="0.25">
      <c r="B186" s="3"/>
      <c r="C186" s="3"/>
      <c r="D186" s="3"/>
      <c r="E186" s="3"/>
    </row>
    <row r="187" spans="2:5" x14ac:dyDescent="0.25">
      <c r="B187" s="3"/>
      <c r="C187" s="3"/>
      <c r="D187" s="3"/>
      <c r="E187" s="3"/>
    </row>
    <row r="188" spans="2:5" x14ac:dyDescent="0.25">
      <c r="B188" s="3"/>
      <c r="C188" s="3"/>
      <c r="D188" s="3"/>
      <c r="E188" s="3"/>
    </row>
    <row r="189" spans="2:5" x14ac:dyDescent="0.25">
      <c r="B189" s="3"/>
      <c r="C189" s="3"/>
      <c r="D189" s="3"/>
      <c r="E189" s="3"/>
    </row>
    <row r="190" spans="2:5" x14ac:dyDescent="0.25">
      <c r="B190" s="3"/>
      <c r="C190" s="3"/>
      <c r="D190" s="3"/>
      <c r="E190" s="3"/>
    </row>
    <row r="191" spans="2:5" x14ac:dyDescent="0.25">
      <c r="B191" s="3"/>
      <c r="C191" s="3"/>
      <c r="D191" s="3"/>
      <c r="E191" s="3"/>
    </row>
    <row r="192" spans="2:5" x14ac:dyDescent="0.25">
      <c r="B192" s="3"/>
      <c r="C192" s="3"/>
      <c r="D192" s="3"/>
      <c r="E192" s="3"/>
    </row>
    <row r="193" spans="2:5" x14ac:dyDescent="0.25">
      <c r="B193" s="3"/>
      <c r="C193" s="3"/>
      <c r="D193" s="3"/>
      <c r="E193" s="3"/>
    </row>
    <row r="194" spans="2:5" x14ac:dyDescent="0.25">
      <c r="B194" s="3"/>
      <c r="C194" s="3"/>
      <c r="D194" s="3"/>
      <c r="E194" s="3"/>
    </row>
    <row r="195" spans="2:5" x14ac:dyDescent="0.25">
      <c r="B195" s="3"/>
      <c r="C195" s="3"/>
      <c r="D195" s="3"/>
      <c r="E195" s="3"/>
    </row>
    <row r="196" spans="2:5" x14ac:dyDescent="0.25">
      <c r="B196" s="3"/>
      <c r="C196" s="3"/>
      <c r="D196" s="3"/>
      <c r="E196" s="3"/>
    </row>
    <row r="197" spans="2:5" x14ac:dyDescent="0.25">
      <c r="B197" s="3"/>
      <c r="C197" s="3"/>
      <c r="D197" s="3"/>
      <c r="E197" s="3"/>
    </row>
    <row r="198" spans="2:5" x14ac:dyDescent="0.25">
      <c r="B198" s="3"/>
      <c r="C198" s="3"/>
      <c r="D198" s="3"/>
      <c r="E198" s="3"/>
    </row>
    <row r="199" spans="2:5" x14ac:dyDescent="0.25">
      <c r="B199" s="3"/>
      <c r="C199" s="3"/>
      <c r="D199" s="3"/>
      <c r="E199" s="3"/>
    </row>
    <row r="200" spans="2:5" x14ac:dyDescent="0.25">
      <c r="B200" s="3"/>
      <c r="C200" s="3"/>
      <c r="D200" s="3"/>
      <c r="E200" s="3"/>
    </row>
    <row r="201" spans="2:5" x14ac:dyDescent="0.25">
      <c r="B201" s="3"/>
      <c r="C201" s="3"/>
      <c r="D201" s="3"/>
      <c r="E201" s="3"/>
    </row>
    <row r="202" spans="2:5" x14ac:dyDescent="0.25">
      <c r="B202" s="3"/>
      <c r="C202" s="3"/>
      <c r="D202" s="3"/>
      <c r="E202" s="3"/>
    </row>
    <row r="203" spans="2:5" x14ac:dyDescent="0.25">
      <c r="B203" s="3"/>
      <c r="C203" s="3"/>
      <c r="D203" s="3"/>
      <c r="E203" s="3"/>
    </row>
    <row r="204" spans="2:5" x14ac:dyDescent="0.25">
      <c r="B204" s="3"/>
      <c r="C204" s="3"/>
      <c r="D204" s="3"/>
      <c r="E204" s="3"/>
    </row>
    <row r="205" spans="2:5" x14ac:dyDescent="0.25">
      <c r="B205" s="3"/>
      <c r="C205" s="3"/>
      <c r="D205" s="3"/>
      <c r="E205" s="3"/>
    </row>
    <row r="206" spans="2:5" x14ac:dyDescent="0.25">
      <c r="B206" s="3"/>
      <c r="C206" s="3"/>
      <c r="D206" s="3"/>
      <c r="E206" s="3"/>
    </row>
    <row r="207" spans="2:5" x14ac:dyDescent="0.25">
      <c r="B207" s="3"/>
      <c r="C207" s="3"/>
      <c r="D207" s="3"/>
      <c r="E207" s="3"/>
    </row>
    <row r="208" spans="2:5" x14ac:dyDescent="0.25">
      <c r="B208" s="3"/>
      <c r="C208" s="3"/>
      <c r="D208" s="3"/>
      <c r="E208" s="3"/>
    </row>
    <row r="209" spans="2:5" x14ac:dyDescent="0.25">
      <c r="B209" s="3"/>
      <c r="C209" s="3"/>
      <c r="D209" s="3"/>
      <c r="E209" s="3"/>
    </row>
    <row r="210" spans="2:5" x14ac:dyDescent="0.25">
      <c r="B210" s="3"/>
      <c r="C210" s="3"/>
      <c r="D210" s="3"/>
      <c r="E210" s="3"/>
    </row>
    <row r="211" spans="2:5" x14ac:dyDescent="0.25">
      <c r="B211" s="3"/>
      <c r="C211" s="3"/>
      <c r="D211" s="3"/>
      <c r="E211" s="3"/>
    </row>
    <row r="212" spans="2:5" x14ac:dyDescent="0.25">
      <c r="B212" s="3"/>
      <c r="C212" s="3"/>
      <c r="D212" s="3"/>
      <c r="E212" s="3"/>
    </row>
    <row r="213" spans="2:5" x14ac:dyDescent="0.25">
      <c r="B213" s="3"/>
      <c r="C213" s="3"/>
      <c r="D213" s="3"/>
      <c r="E213" s="3"/>
    </row>
    <row r="214" spans="2:5" x14ac:dyDescent="0.25">
      <c r="B214" s="3"/>
      <c r="C214" s="3"/>
      <c r="D214" s="3"/>
      <c r="E214" s="3"/>
    </row>
    <row r="215" spans="2:5" x14ac:dyDescent="0.25">
      <c r="B215" s="3"/>
      <c r="C215" s="3"/>
      <c r="D215" s="3"/>
      <c r="E215" s="3"/>
    </row>
    <row r="216" spans="2:5" x14ac:dyDescent="0.25">
      <c r="B216" s="3"/>
      <c r="C216" s="3"/>
      <c r="D216" s="3"/>
      <c r="E216" s="3"/>
    </row>
    <row r="217" spans="2:5" x14ac:dyDescent="0.25">
      <c r="B217" s="3"/>
      <c r="C217" s="3"/>
      <c r="D217" s="3"/>
      <c r="E217" s="3"/>
    </row>
    <row r="218" spans="2:5" x14ac:dyDescent="0.25">
      <c r="B218" s="3"/>
      <c r="C218" s="3"/>
      <c r="D218" s="3"/>
      <c r="E218" s="3"/>
    </row>
    <row r="219" spans="2:5" x14ac:dyDescent="0.25">
      <c r="B219" s="3"/>
      <c r="C219" s="3"/>
      <c r="D219" s="3"/>
      <c r="E219" s="3"/>
    </row>
    <row r="220" spans="2:5" x14ac:dyDescent="0.25">
      <c r="B220" s="3"/>
      <c r="C220" s="3"/>
      <c r="D220" s="3"/>
      <c r="E220" s="3"/>
    </row>
    <row r="221" spans="2:5" x14ac:dyDescent="0.25">
      <c r="B221" s="3"/>
      <c r="C221" s="3"/>
      <c r="D221" s="3"/>
      <c r="E221" s="3"/>
    </row>
    <row r="222" spans="2:5" x14ac:dyDescent="0.25">
      <c r="B222" s="3"/>
      <c r="C222" s="3"/>
      <c r="D222" s="3"/>
      <c r="E222" s="3"/>
    </row>
    <row r="223" spans="2:5" x14ac:dyDescent="0.25">
      <c r="B223" s="3"/>
      <c r="C223" s="3"/>
      <c r="D223" s="3"/>
      <c r="E223" s="3"/>
    </row>
    <row r="224" spans="2:5" x14ac:dyDescent="0.25">
      <c r="B224" s="3"/>
      <c r="C224" s="3"/>
      <c r="D224" s="3"/>
      <c r="E224" s="3"/>
    </row>
    <row r="225" spans="2:5" x14ac:dyDescent="0.25">
      <c r="B225" s="3"/>
      <c r="C225" s="3"/>
      <c r="D225" s="3"/>
      <c r="E225" s="3"/>
    </row>
    <row r="226" spans="2:5" x14ac:dyDescent="0.25">
      <c r="B226" s="3"/>
      <c r="C226" s="3"/>
      <c r="D226" s="3"/>
      <c r="E226" s="3"/>
    </row>
    <row r="227" spans="2:5" x14ac:dyDescent="0.25">
      <c r="B227" s="3"/>
      <c r="C227" s="3"/>
      <c r="D227" s="3"/>
      <c r="E227" s="3"/>
    </row>
    <row r="228" spans="2:5" x14ac:dyDescent="0.25">
      <c r="B228" s="3"/>
      <c r="C228" s="3"/>
      <c r="D228" s="3"/>
      <c r="E228" s="3"/>
    </row>
    <row r="229" spans="2:5" x14ac:dyDescent="0.25">
      <c r="B229" s="3"/>
      <c r="C229" s="3"/>
      <c r="D229" s="3"/>
      <c r="E229" s="3"/>
    </row>
    <row r="230" spans="2:5" x14ac:dyDescent="0.25">
      <c r="B230" s="3"/>
      <c r="C230" s="3"/>
      <c r="D230" s="3"/>
      <c r="E230" s="3"/>
    </row>
    <row r="231" spans="2:5" x14ac:dyDescent="0.25">
      <c r="B231" s="3"/>
      <c r="C231" s="3"/>
      <c r="D231" s="3"/>
      <c r="E231" s="3"/>
    </row>
    <row r="232" spans="2:5" x14ac:dyDescent="0.25">
      <c r="B232" s="3"/>
      <c r="C232" s="3"/>
      <c r="D232" s="3"/>
      <c r="E232" s="3"/>
    </row>
    <row r="233" spans="2:5" x14ac:dyDescent="0.25">
      <c r="B233" s="3"/>
      <c r="C233" s="3"/>
      <c r="D233" s="3"/>
      <c r="E233" s="3"/>
    </row>
    <row r="234" spans="2:5" x14ac:dyDescent="0.25">
      <c r="B234" s="3"/>
      <c r="C234" s="3"/>
      <c r="D234" s="3"/>
      <c r="E234" s="3"/>
    </row>
    <row r="235" spans="2:5" x14ac:dyDescent="0.25">
      <c r="B235" s="3"/>
      <c r="C235" s="3"/>
      <c r="D235" s="3"/>
      <c r="E235" s="3"/>
    </row>
    <row r="236" spans="2:5" x14ac:dyDescent="0.25">
      <c r="B236" s="3"/>
      <c r="C236" s="3"/>
      <c r="D236" s="3"/>
      <c r="E236" s="3"/>
    </row>
    <row r="237" spans="2:5" x14ac:dyDescent="0.25">
      <c r="B237" s="3"/>
      <c r="C237" s="3"/>
      <c r="D237" s="3"/>
      <c r="E237" s="3"/>
    </row>
    <row r="238" spans="2:5" x14ac:dyDescent="0.25">
      <c r="B238" s="3"/>
      <c r="C238" s="3"/>
      <c r="D238" s="3"/>
      <c r="E238" s="3"/>
    </row>
    <row r="239" spans="2:5" x14ac:dyDescent="0.25">
      <c r="B239" s="3"/>
      <c r="C239" s="3"/>
      <c r="D239" s="3"/>
      <c r="E239" s="3"/>
    </row>
    <row r="240" spans="2:5" x14ac:dyDescent="0.25">
      <c r="B240" s="3"/>
      <c r="C240" s="3"/>
      <c r="D240" s="3"/>
      <c r="E240" s="3"/>
    </row>
    <row r="241" spans="2:5" x14ac:dyDescent="0.25">
      <c r="B241" s="3"/>
      <c r="C241" s="3"/>
      <c r="D241" s="3"/>
      <c r="E241" s="3"/>
    </row>
    <row r="242" spans="2:5" x14ac:dyDescent="0.25">
      <c r="B242" s="3"/>
      <c r="C242" s="3"/>
      <c r="D242" s="3"/>
      <c r="E242" s="3"/>
    </row>
    <row r="243" spans="2:5" x14ac:dyDescent="0.25">
      <c r="B243" s="3"/>
      <c r="C243" s="3"/>
      <c r="D243" s="3"/>
      <c r="E243" s="3"/>
    </row>
    <row r="244" spans="2:5" x14ac:dyDescent="0.25">
      <c r="B244" s="3"/>
      <c r="C244" s="3"/>
      <c r="D244" s="3"/>
      <c r="E244" s="3"/>
    </row>
    <row r="245" spans="2:5" x14ac:dyDescent="0.25">
      <c r="B245" s="3"/>
      <c r="C245" s="3"/>
      <c r="D245" s="3"/>
      <c r="E245" s="3"/>
    </row>
    <row r="246" spans="2:5" x14ac:dyDescent="0.25">
      <c r="B246" s="3"/>
      <c r="C246" s="3"/>
      <c r="D246" s="3"/>
      <c r="E246" s="3"/>
    </row>
    <row r="247" spans="2:5" x14ac:dyDescent="0.25">
      <c r="B247" s="3"/>
      <c r="C247" s="3"/>
      <c r="D247" s="3"/>
      <c r="E247" s="3"/>
    </row>
    <row r="248" spans="2:5" x14ac:dyDescent="0.25">
      <c r="B248" s="3"/>
      <c r="C248" s="3"/>
      <c r="D248" s="3"/>
      <c r="E248" s="3"/>
    </row>
    <row r="249" spans="2:5" x14ac:dyDescent="0.25">
      <c r="B249" s="3"/>
      <c r="C249" s="3"/>
      <c r="D249" s="3"/>
      <c r="E249" s="3"/>
    </row>
    <row r="250" spans="2:5" x14ac:dyDescent="0.25">
      <c r="B250" s="3"/>
      <c r="C250" s="3"/>
      <c r="D250" s="3"/>
      <c r="E250" s="3"/>
    </row>
    <row r="251" spans="2:5" x14ac:dyDescent="0.25">
      <c r="B251" s="3"/>
      <c r="C251" s="3"/>
      <c r="D251" s="3"/>
      <c r="E251" s="3"/>
    </row>
    <row r="252" spans="2:5" x14ac:dyDescent="0.25">
      <c r="B252" s="3"/>
      <c r="C252" s="3"/>
      <c r="D252" s="3"/>
      <c r="E252" s="3"/>
    </row>
    <row r="253" spans="2:5" x14ac:dyDescent="0.25">
      <c r="B253" s="3"/>
      <c r="C253" s="3"/>
      <c r="D253" s="3"/>
      <c r="E253" s="3"/>
    </row>
    <row r="254" spans="2:5" x14ac:dyDescent="0.25">
      <c r="B254" s="3"/>
      <c r="C254" s="3"/>
      <c r="D254" s="3"/>
      <c r="E254" s="3"/>
    </row>
    <row r="255" spans="2:5" x14ac:dyDescent="0.25">
      <c r="B255" s="3"/>
      <c r="C255" s="3"/>
      <c r="D255" s="3"/>
      <c r="E255" s="3"/>
    </row>
    <row r="256" spans="2:5" x14ac:dyDescent="0.25">
      <c r="B256" s="3"/>
      <c r="C256" s="3"/>
      <c r="D256" s="3"/>
      <c r="E256" s="3"/>
    </row>
    <row r="257" spans="2:5" x14ac:dyDescent="0.25">
      <c r="B257" s="3"/>
      <c r="C257" s="3"/>
      <c r="D257" s="3"/>
      <c r="E257" s="3"/>
    </row>
    <row r="258" spans="2:5" x14ac:dyDescent="0.25">
      <c r="B258" s="3"/>
      <c r="C258" s="3"/>
      <c r="D258" s="3"/>
      <c r="E258" s="3"/>
    </row>
    <row r="259" spans="2:5" x14ac:dyDescent="0.25">
      <c r="B259" s="3"/>
      <c r="C259" s="3"/>
      <c r="D259" s="3"/>
      <c r="E259" s="3"/>
    </row>
    <row r="260" spans="2:5" x14ac:dyDescent="0.25">
      <c r="B260" s="3"/>
      <c r="C260" s="3"/>
      <c r="D260" s="3"/>
      <c r="E260" s="3"/>
    </row>
    <row r="261" spans="2:5" x14ac:dyDescent="0.25">
      <c r="B261" s="3"/>
      <c r="C261" s="3"/>
      <c r="D261" s="3"/>
      <c r="E261" s="3"/>
    </row>
    <row r="262" spans="2:5" x14ac:dyDescent="0.25">
      <c r="B262" s="3"/>
      <c r="C262" s="3"/>
      <c r="D262" s="3"/>
      <c r="E262" s="3"/>
    </row>
    <row r="263" spans="2:5" x14ac:dyDescent="0.25">
      <c r="B263" s="3"/>
      <c r="C263" s="3"/>
      <c r="D263" s="3"/>
      <c r="E263" s="3"/>
    </row>
    <row r="264" spans="2:5" x14ac:dyDescent="0.25">
      <c r="B264" s="3"/>
      <c r="C264" s="3"/>
      <c r="D264" s="3"/>
      <c r="E264" s="3"/>
    </row>
    <row r="265" spans="2:5" x14ac:dyDescent="0.25">
      <c r="B265" s="3"/>
      <c r="C265" s="3"/>
      <c r="D265" s="3"/>
      <c r="E265" s="3"/>
    </row>
    <row r="266" spans="2:5" x14ac:dyDescent="0.25">
      <c r="B266" s="3"/>
      <c r="C266" s="3"/>
      <c r="D266" s="3"/>
      <c r="E266" s="3"/>
    </row>
    <row r="267" spans="2:5" x14ac:dyDescent="0.25">
      <c r="B267" s="3"/>
      <c r="C267" s="3"/>
      <c r="D267" s="3"/>
      <c r="E267" s="3"/>
    </row>
    <row r="268" spans="2:5" x14ac:dyDescent="0.25">
      <c r="B268" s="3"/>
      <c r="C268" s="3"/>
      <c r="D268" s="3"/>
      <c r="E268" s="3"/>
    </row>
    <row r="269" spans="2:5" x14ac:dyDescent="0.25">
      <c r="B269" s="3"/>
      <c r="C269" s="3"/>
      <c r="D269" s="3"/>
      <c r="E269" s="3"/>
    </row>
    <row r="270" spans="2:5" x14ac:dyDescent="0.25">
      <c r="B270" s="3"/>
      <c r="C270" s="3"/>
      <c r="D270" s="3"/>
      <c r="E270" s="3"/>
    </row>
    <row r="271" spans="2:5" x14ac:dyDescent="0.25">
      <c r="B271" s="3"/>
      <c r="C271" s="3"/>
      <c r="D271" s="3"/>
      <c r="E271" s="3"/>
    </row>
    <row r="272" spans="2:5" x14ac:dyDescent="0.25">
      <c r="B272" s="3"/>
      <c r="C272" s="3"/>
      <c r="D272" s="3"/>
      <c r="E272" s="3"/>
    </row>
    <row r="273" spans="2:5" x14ac:dyDescent="0.25">
      <c r="B273" s="3"/>
      <c r="C273" s="3"/>
      <c r="D273" s="3"/>
      <c r="E273" s="3"/>
    </row>
    <row r="274" spans="2:5" x14ac:dyDescent="0.25">
      <c r="B274" s="3"/>
      <c r="C274" s="3"/>
      <c r="D274" s="3"/>
      <c r="E274" s="3"/>
    </row>
    <row r="275" spans="2:5" x14ac:dyDescent="0.25">
      <c r="B275" s="3"/>
      <c r="C275" s="3"/>
      <c r="D275" s="3"/>
      <c r="E275" s="3"/>
    </row>
    <row r="276" spans="2:5" x14ac:dyDescent="0.25">
      <c r="B276" s="3"/>
      <c r="C276" s="3"/>
      <c r="D276" s="3"/>
      <c r="E276" s="3"/>
    </row>
    <row r="277" spans="2:5" x14ac:dyDescent="0.25">
      <c r="B277" s="3"/>
      <c r="C277" s="3"/>
      <c r="D277" s="3"/>
      <c r="E277" s="3"/>
    </row>
    <row r="278" spans="2:5" x14ac:dyDescent="0.25">
      <c r="B278" s="3"/>
      <c r="C278" s="3"/>
      <c r="D278" s="3"/>
      <c r="E278" s="3"/>
    </row>
    <row r="279" spans="2:5" x14ac:dyDescent="0.25">
      <c r="B279" s="3"/>
      <c r="C279" s="3"/>
      <c r="D279" s="3"/>
      <c r="E279" s="3"/>
    </row>
    <row r="280" spans="2:5" x14ac:dyDescent="0.25">
      <c r="B280" s="3"/>
      <c r="C280" s="3"/>
      <c r="D280" s="3"/>
      <c r="E280" s="3"/>
    </row>
    <row r="281" spans="2:5" x14ac:dyDescent="0.25">
      <c r="B281" s="3"/>
      <c r="C281" s="3"/>
      <c r="D281" s="3"/>
      <c r="E281" s="3"/>
    </row>
    <row r="282" spans="2:5" x14ac:dyDescent="0.25">
      <c r="B282" s="3"/>
      <c r="C282" s="3"/>
      <c r="D282" s="3"/>
      <c r="E282" s="3"/>
    </row>
    <row r="283" spans="2:5" x14ac:dyDescent="0.25">
      <c r="B283" s="3"/>
      <c r="C283" s="3"/>
      <c r="D283" s="3"/>
      <c r="E283" s="3"/>
    </row>
    <row r="284" spans="2:5" x14ac:dyDescent="0.25">
      <c r="B284" s="3"/>
      <c r="C284" s="3"/>
      <c r="D284" s="3"/>
      <c r="E284" s="3"/>
    </row>
    <row r="285" spans="2:5" x14ac:dyDescent="0.25">
      <c r="B285" s="3"/>
      <c r="C285" s="3"/>
      <c r="D285" s="3"/>
      <c r="E285" s="3"/>
    </row>
    <row r="286" spans="2:5" x14ac:dyDescent="0.25">
      <c r="B286" s="3"/>
      <c r="C286" s="3"/>
      <c r="D286" s="3"/>
      <c r="E286" s="3"/>
    </row>
    <row r="287" spans="2:5" x14ac:dyDescent="0.25">
      <c r="B287" s="3"/>
      <c r="C287" s="3"/>
      <c r="D287" s="3"/>
      <c r="E287" s="3"/>
    </row>
    <row r="288" spans="2:5" x14ac:dyDescent="0.25">
      <c r="B288" s="3"/>
      <c r="C288" s="3"/>
      <c r="D288" s="3"/>
      <c r="E288" s="3"/>
    </row>
    <row r="289" spans="2:5" x14ac:dyDescent="0.25">
      <c r="B289" s="3"/>
      <c r="C289" s="3"/>
      <c r="D289" s="3"/>
      <c r="E289" s="3"/>
    </row>
    <row r="290" spans="2:5" x14ac:dyDescent="0.25">
      <c r="B290" s="3"/>
      <c r="C290" s="3"/>
      <c r="D290" s="3"/>
      <c r="E290" s="3"/>
    </row>
    <row r="291" spans="2:5" x14ac:dyDescent="0.25">
      <c r="B291" s="3"/>
      <c r="C291" s="3"/>
      <c r="D291" s="3"/>
      <c r="E291" s="3"/>
    </row>
    <row r="292" spans="2:5" x14ac:dyDescent="0.25">
      <c r="B292" s="3"/>
      <c r="C292" s="3"/>
      <c r="D292" s="3"/>
      <c r="E292" s="3"/>
    </row>
    <row r="293" spans="2:5" x14ac:dyDescent="0.25">
      <c r="B293" s="3"/>
      <c r="C293" s="3"/>
      <c r="D293" s="3"/>
      <c r="E293" s="3"/>
    </row>
    <row r="294" spans="2:5" x14ac:dyDescent="0.25">
      <c r="B294" s="3"/>
      <c r="C294" s="3"/>
      <c r="D294" s="3"/>
      <c r="E294" s="3"/>
    </row>
    <row r="295" spans="2:5" x14ac:dyDescent="0.25">
      <c r="B295" s="3"/>
      <c r="C295" s="3"/>
      <c r="D295" s="3"/>
      <c r="E295" s="3"/>
    </row>
    <row r="296" spans="2:5" x14ac:dyDescent="0.25">
      <c r="B296" s="3"/>
      <c r="C296" s="3"/>
      <c r="D296" s="3"/>
      <c r="E296" s="3"/>
    </row>
    <row r="297" spans="2:5" x14ac:dyDescent="0.25">
      <c r="B297" s="3"/>
      <c r="C297" s="3"/>
      <c r="D297" s="3"/>
      <c r="E297" s="3"/>
    </row>
    <row r="298" spans="2:5" x14ac:dyDescent="0.25">
      <c r="B298" s="3"/>
      <c r="C298" s="3"/>
      <c r="D298" s="3"/>
      <c r="E298" s="3"/>
    </row>
    <row r="299" spans="2:5" x14ac:dyDescent="0.25">
      <c r="B299" s="3"/>
      <c r="C299" s="3"/>
      <c r="D299" s="3"/>
      <c r="E299" s="3"/>
    </row>
    <row r="300" spans="2:5" x14ac:dyDescent="0.25">
      <c r="B300" s="3"/>
      <c r="C300" s="3"/>
      <c r="D300" s="3"/>
      <c r="E300" s="3"/>
    </row>
    <row r="301" spans="2:5" x14ac:dyDescent="0.25">
      <c r="B301" s="3"/>
      <c r="C301" s="3"/>
      <c r="D301" s="3"/>
      <c r="E301" s="3"/>
    </row>
    <row r="302" spans="2:5" x14ac:dyDescent="0.25">
      <c r="B302" s="3"/>
      <c r="C302" s="3"/>
      <c r="D302" s="3"/>
      <c r="E302" s="3"/>
    </row>
    <row r="303" spans="2:5" x14ac:dyDescent="0.25">
      <c r="B303" s="3"/>
      <c r="C303" s="3"/>
      <c r="D303" s="3"/>
      <c r="E303" s="3"/>
    </row>
    <row r="304" spans="2:5" x14ac:dyDescent="0.25">
      <c r="B304" s="3"/>
      <c r="C304" s="3"/>
      <c r="D304" s="3"/>
      <c r="E304" s="3"/>
    </row>
    <row r="305" spans="2:5" x14ac:dyDescent="0.25">
      <c r="B305" s="3"/>
      <c r="C305" s="3"/>
      <c r="D305" s="3"/>
      <c r="E305" s="3"/>
    </row>
    <row r="306" spans="2:5" x14ac:dyDescent="0.25">
      <c r="B306" s="3"/>
      <c r="C306" s="3"/>
      <c r="D306" s="3"/>
      <c r="E306" s="3"/>
    </row>
    <row r="307" spans="2:5" x14ac:dyDescent="0.25">
      <c r="B307" s="3"/>
      <c r="C307" s="3"/>
      <c r="D307" s="3"/>
      <c r="E307" s="3"/>
    </row>
    <row r="308" spans="2:5" x14ac:dyDescent="0.25">
      <c r="B308" s="3"/>
      <c r="C308" s="3"/>
      <c r="D308" s="3"/>
      <c r="E308" s="3"/>
    </row>
    <row r="309" spans="2:5" x14ac:dyDescent="0.25">
      <c r="B309" s="3"/>
      <c r="C309" s="3"/>
      <c r="D309" s="3"/>
      <c r="E309" s="3"/>
    </row>
    <row r="310" spans="2:5" x14ac:dyDescent="0.25">
      <c r="B310" s="3"/>
      <c r="C310" s="3"/>
      <c r="D310" s="3"/>
      <c r="E310" s="3"/>
    </row>
    <row r="311" spans="2:5" x14ac:dyDescent="0.25">
      <c r="B311" s="3"/>
      <c r="C311" s="3"/>
      <c r="D311" s="3"/>
      <c r="E311" s="3"/>
    </row>
    <row r="312" spans="2:5" x14ac:dyDescent="0.25">
      <c r="B312" s="3"/>
      <c r="C312" s="3"/>
      <c r="D312" s="3"/>
      <c r="E312" s="3"/>
    </row>
    <row r="313" spans="2:5" x14ac:dyDescent="0.25">
      <c r="B313" s="3"/>
      <c r="C313" s="3"/>
      <c r="D313" s="3"/>
      <c r="E313" s="3"/>
    </row>
    <row r="314" spans="2:5" x14ac:dyDescent="0.25">
      <c r="B314" s="3"/>
      <c r="C314" s="3"/>
      <c r="D314" s="3"/>
      <c r="E314" s="3"/>
    </row>
    <row r="315" spans="2:5" x14ac:dyDescent="0.25">
      <c r="B315" s="3"/>
      <c r="C315" s="3"/>
      <c r="D315" s="3"/>
      <c r="E315" s="3"/>
    </row>
    <row r="316" spans="2:5" x14ac:dyDescent="0.25">
      <c r="B316" s="3"/>
      <c r="C316" s="3"/>
      <c r="D316" s="3"/>
      <c r="E316" s="3"/>
    </row>
    <row r="317" spans="2:5" x14ac:dyDescent="0.25">
      <c r="B317" s="3"/>
      <c r="C317" s="3"/>
      <c r="D317" s="3"/>
      <c r="E317" s="3"/>
    </row>
    <row r="318" spans="2:5" x14ac:dyDescent="0.25">
      <c r="B318" s="3"/>
      <c r="C318" s="3"/>
      <c r="D318" s="3"/>
      <c r="E318" s="3"/>
    </row>
    <row r="319" spans="2:5" x14ac:dyDescent="0.25">
      <c r="B319" s="3"/>
      <c r="C319" s="3"/>
      <c r="D319" s="3"/>
      <c r="E319" s="3"/>
    </row>
    <row r="320" spans="2:5" x14ac:dyDescent="0.25">
      <c r="B320" s="3"/>
      <c r="C320" s="3"/>
      <c r="D320" s="3"/>
      <c r="E320" s="3"/>
    </row>
    <row r="321" spans="2:5" x14ac:dyDescent="0.25">
      <c r="B321" s="3"/>
      <c r="C321" s="3"/>
      <c r="D321" s="3"/>
      <c r="E321" s="3"/>
    </row>
    <row r="322" spans="2:5" x14ac:dyDescent="0.25">
      <c r="B322" s="3"/>
      <c r="C322" s="3"/>
      <c r="D322" s="3"/>
      <c r="E322" s="3"/>
    </row>
    <row r="323" spans="2:5" x14ac:dyDescent="0.25">
      <c r="B323" s="3"/>
      <c r="C323" s="3"/>
      <c r="D323" s="3"/>
      <c r="E323" s="3"/>
    </row>
    <row r="324" spans="2:5" x14ac:dyDescent="0.25">
      <c r="B324" s="3"/>
      <c r="C324" s="3"/>
      <c r="D324" s="3"/>
      <c r="E324" s="3"/>
    </row>
    <row r="325" spans="2:5" x14ac:dyDescent="0.25">
      <c r="B325" s="3"/>
      <c r="C325" s="3"/>
      <c r="D325" s="3"/>
      <c r="E325" s="3"/>
    </row>
    <row r="326" spans="2:5" x14ac:dyDescent="0.25">
      <c r="B326" s="3"/>
      <c r="C326" s="3"/>
      <c r="D326" s="3"/>
      <c r="E326" s="3"/>
    </row>
    <row r="327" spans="2:5" x14ac:dyDescent="0.25">
      <c r="B327" s="3"/>
      <c r="C327" s="3"/>
      <c r="D327" s="3"/>
      <c r="E327" s="3"/>
    </row>
    <row r="328" spans="2:5" x14ac:dyDescent="0.25">
      <c r="B328" s="3"/>
      <c r="C328" s="3"/>
      <c r="D328" s="3"/>
      <c r="E328" s="3"/>
    </row>
    <row r="329" spans="2:5" x14ac:dyDescent="0.25">
      <c r="B329" s="3"/>
      <c r="C329" s="3"/>
      <c r="D329" s="3"/>
      <c r="E329" s="3"/>
    </row>
    <row r="330" spans="2:5" x14ac:dyDescent="0.25">
      <c r="B330" s="3"/>
      <c r="C330" s="3"/>
      <c r="D330" s="3"/>
      <c r="E330" s="3"/>
    </row>
    <row r="331" spans="2:5" x14ac:dyDescent="0.25">
      <c r="B331" s="3"/>
      <c r="C331" s="3"/>
      <c r="D331" s="3"/>
      <c r="E331" s="3"/>
    </row>
    <row r="332" spans="2:5" x14ac:dyDescent="0.25">
      <c r="B332" s="3"/>
      <c r="C332" s="3"/>
      <c r="D332" s="3"/>
      <c r="E332" s="3"/>
    </row>
    <row r="333" spans="2:5" x14ac:dyDescent="0.25">
      <c r="B333" s="3"/>
      <c r="C333" s="3"/>
      <c r="D333" s="3"/>
      <c r="E333" s="3"/>
    </row>
    <row r="334" spans="2:5" x14ac:dyDescent="0.25">
      <c r="B334" s="3"/>
      <c r="C334" s="3"/>
      <c r="D334" s="3"/>
      <c r="E334" s="3"/>
    </row>
    <row r="335" spans="2:5" x14ac:dyDescent="0.25">
      <c r="B335" s="3"/>
      <c r="C335" s="3"/>
      <c r="D335" s="3"/>
      <c r="E335" s="3"/>
    </row>
    <row r="336" spans="2:5" x14ac:dyDescent="0.25">
      <c r="B336" s="3"/>
      <c r="C336" s="3"/>
      <c r="D336" s="3"/>
      <c r="E336" s="3"/>
    </row>
    <row r="337" spans="2:5" x14ac:dyDescent="0.25">
      <c r="B337" s="3"/>
      <c r="C337" s="3"/>
      <c r="D337" s="3"/>
      <c r="E337" s="3"/>
    </row>
    <row r="338" spans="2:5" x14ac:dyDescent="0.25">
      <c r="B338" s="3"/>
      <c r="C338" s="3"/>
      <c r="D338" s="3"/>
      <c r="E338" s="3"/>
    </row>
    <row r="339" spans="2:5" x14ac:dyDescent="0.25">
      <c r="B339" s="3"/>
      <c r="C339" s="3"/>
      <c r="D339" s="3"/>
      <c r="E339" s="3"/>
    </row>
    <row r="340" spans="2:5" x14ac:dyDescent="0.25">
      <c r="B340" s="3"/>
      <c r="C340" s="3"/>
      <c r="D340" s="3"/>
      <c r="E340" s="3"/>
    </row>
    <row r="341" spans="2:5" x14ac:dyDescent="0.25">
      <c r="B341" s="3"/>
      <c r="C341" s="3"/>
      <c r="D341" s="3"/>
      <c r="E341" s="3"/>
    </row>
    <row r="342" spans="2:5" x14ac:dyDescent="0.25">
      <c r="B342" s="3"/>
      <c r="C342" s="3"/>
      <c r="D342" s="3"/>
      <c r="E342" s="3"/>
    </row>
    <row r="343" spans="2:5" x14ac:dyDescent="0.25">
      <c r="B343" s="3"/>
      <c r="C343" s="3"/>
      <c r="D343" s="3"/>
      <c r="E343" s="3"/>
    </row>
    <row r="344" spans="2:5" x14ac:dyDescent="0.25">
      <c r="B344" s="3"/>
      <c r="C344" s="3"/>
      <c r="D344" s="3"/>
      <c r="E344" s="3"/>
    </row>
    <row r="345" spans="2:5" x14ac:dyDescent="0.25">
      <c r="B345" s="3"/>
      <c r="C345" s="3"/>
      <c r="D345" s="3"/>
      <c r="E345" s="3"/>
    </row>
    <row r="346" spans="2:5" x14ac:dyDescent="0.25">
      <c r="B346" s="3"/>
      <c r="C346" s="3"/>
      <c r="D346" s="3"/>
      <c r="E346" s="3"/>
    </row>
    <row r="347" spans="2:5" x14ac:dyDescent="0.25">
      <c r="B347" s="3"/>
      <c r="C347" s="3"/>
      <c r="D347" s="3"/>
      <c r="E347" s="3"/>
    </row>
    <row r="348" spans="2:5" x14ac:dyDescent="0.25">
      <c r="B348" s="3"/>
      <c r="C348" s="3"/>
      <c r="D348" s="3"/>
      <c r="E348" s="3"/>
    </row>
    <row r="349" spans="2:5" x14ac:dyDescent="0.25">
      <c r="B349" s="3"/>
      <c r="C349" s="3"/>
      <c r="D349" s="3"/>
      <c r="E349" s="3"/>
    </row>
    <row r="350" spans="2:5" x14ac:dyDescent="0.25">
      <c r="B350" s="3"/>
      <c r="C350" s="3"/>
      <c r="D350" s="3"/>
      <c r="E350" s="3"/>
    </row>
    <row r="351" spans="2:5" x14ac:dyDescent="0.25">
      <c r="B351" s="3"/>
      <c r="C351" s="3"/>
      <c r="D351" s="3"/>
      <c r="E351" s="3"/>
    </row>
    <row r="352" spans="2:5" x14ac:dyDescent="0.25">
      <c r="B352" s="3"/>
      <c r="C352" s="3"/>
      <c r="D352" s="3"/>
      <c r="E352" s="3"/>
    </row>
    <row r="353" spans="2:5" x14ac:dyDescent="0.25">
      <c r="B353" s="3"/>
      <c r="C353" s="3"/>
      <c r="D353" s="3"/>
      <c r="E353" s="3"/>
    </row>
    <row r="354" spans="2:5" x14ac:dyDescent="0.25">
      <c r="B354" s="3"/>
      <c r="C354" s="3"/>
      <c r="D354" s="3"/>
      <c r="E354" s="3"/>
    </row>
    <row r="355" spans="2:5" x14ac:dyDescent="0.25">
      <c r="B355" s="3"/>
      <c r="C355" s="3"/>
      <c r="D355" s="3"/>
      <c r="E355" s="3"/>
    </row>
    <row r="356" spans="2:5" x14ac:dyDescent="0.25">
      <c r="B356" s="3"/>
      <c r="C356" s="3"/>
      <c r="D356" s="3"/>
      <c r="E356" s="3"/>
    </row>
    <row r="357" spans="2:5" x14ac:dyDescent="0.25">
      <c r="B357" s="3"/>
      <c r="C357" s="3"/>
      <c r="D357" s="3"/>
      <c r="E357" s="3"/>
    </row>
    <row r="358" spans="2:5" x14ac:dyDescent="0.25">
      <c r="B358" s="3"/>
      <c r="C358" s="3"/>
      <c r="D358" s="3"/>
      <c r="E358" s="3"/>
    </row>
    <row r="359" spans="2:5" x14ac:dyDescent="0.25">
      <c r="B359" s="3"/>
      <c r="C359" s="3"/>
      <c r="D359" s="3"/>
      <c r="E359" s="3"/>
    </row>
    <row r="360" spans="2:5" x14ac:dyDescent="0.25">
      <c r="B360" s="3"/>
      <c r="C360" s="3"/>
      <c r="D360" s="3"/>
      <c r="E360" s="3"/>
    </row>
    <row r="361" spans="2:5" x14ac:dyDescent="0.25">
      <c r="B361" s="3"/>
      <c r="C361" s="3"/>
      <c r="D361" s="3"/>
      <c r="E361" s="3"/>
    </row>
    <row r="362" spans="2:5" x14ac:dyDescent="0.25">
      <c r="B362" s="3"/>
      <c r="C362" s="3"/>
      <c r="D362" s="3"/>
      <c r="E362" s="3"/>
    </row>
    <row r="363" spans="2:5" x14ac:dyDescent="0.25">
      <c r="B363" s="3"/>
      <c r="C363" s="3"/>
      <c r="D363" s="3"/>
      <c r="E363" s="3"/>
    </row>
    <row r="364" spans="2:5" x14ac:dyDescent="0.25">
      <c r="B364" s="3"/>
      <c r="C364" s="3"/>
      <c r="D364" s="3"/>
      <c r="E364" s="3"/>
    </row>
    <row r="365" spans="2:5" x14ac:dyDescent="0.25">
      <c r="B365" s="3"/>
      <c r="C365" s="3"/>
      <c r="D365" s="3"/>
      <c r="E365" s="3"/>
    </row>
    <row r="366" spans="2:5" x14ac:dyDescent="0.25">
      <c r="B366" s="3"/>
      <c r="C366" s="3"/>
      <c r="D366" s="3"/>
      <c r="E366" s="3"/>
    </row>
    <row r="367" spans="2:5" x14ac:dyDescent="0.25">
      <c r="B367" s="3"/>
      <c r="C367" s="3"/>
      <c r="D367" s="3"/>
      <c r="E367" s="3"/>
    </row>
    <row r="368" spans="2:5" x14ac:dyDescent="0.25">
      <c r="B368" s="3"/>
      <c r="C368" s="3"/>
      <c r="D368" s="3"/>
      <c r="E368" s="3"/>
    </row>
    <row r="369" spans="2:5" x14ac:dyDescent="0.25">
      <c r="B369" s="3"/>
      <c r="C369" s="3"/>
      <c r="D369" s="3"/>
      <c r="E369" s="3"/>
    </row>
    <row r="370" spans="2:5" x14ac:dyDescent="0.25">
      <c r="B370" s="3"/>
      <c r="C370" s="3"/>
      <c r="D370" s="3"/>
      <c r="E370" s="3"/>
    </row>
    <row r="371" spans="2:5" x14ac:dyDescent="0.25">
      <c r="B371" s="3"/>
      <c r="C371" s="3"/>
      <c r="D371" s="3"/>
      <c r="E371" s="3"/>
    </row>
    <row r="372" spans="2:5" x14ac:dyDescent="0.25">
      <c r="B372" s="3"/>
      <c r="C372" s="3"/>
      <c r="D372" s="3"/>
      <c r="E372" s="3"/>
    </row>
    <row r="373" spans="2:5" x14ac:dyDescent="0.25">
      <c r="B373" s="3"/>
      <c r="C373" s="3"/>
      <c r="D373" s="3"/>
      <c r="E373" s="3"/>
    </row>
    <row r="374" spans="2:5" x14ac:dyDescent="0.25">
      <c r="B374" s="3"/>
      <c r="C374" s="3"/>
      <c r="D374" s="3"/>
      <c r="E374" s="3"/>
    </row>
    <row r="375" spans="2:5" x14ac:dyDescent="0.25">
      <c r="B375" s="3"/>
      <c r="C375" s="3"/>
      <c r="D375" s="3"/>
      <c r="E375" s="3"/>
    </row>
    <row r="376" spans="2:5" x14ac:dyDescent="0.25">
      <c r="B376" s="3"/>
      <c r="C376" s="3"/>
      <c r="D376" s="3"/>
      <c r="E376" s="3"/>
    </row>
    <row r="377" spans="2:5" x14ac:dyDescent="0.25">
      <c r="B377" s="3"/>
      <c r="C377" s="3"/>
      <c r="D377" s="3"/>
      <c r="E377" s="3"/>
    </row>
    <row r="378" spans="2:5" x14ac:dyDescent="0.25">
      <c r="B378" s="3"/>
      <c r="C378" s="3"/>
      <c r="D378" s="3"/>
      <c r="E378" s="3"/>
    </row>
    <row r="379" spans="2:5" x14ac:dyDescent="0.25">
      <c r="B379" s="3"/>
      <c r="C379" s="3"/>
      <c r="D379" s="3"/>
      <c r="E379" s="3"/>
    </row>
    <row r="380" spans="2:5" x14ac:dyDescent="0.25">
      <c r="B380" s="3"/>
      <c r="C380" s="3"/>
      <c r="D380" s="3"/>
      <c r="E380" s="3"/>
    </row>
    <row r="381" spans="2:5" x14ac:dyDescent="0.25">
      <c r="B381" s="3"/>
      <c r="C381" s="3"/>
      <c r="D381" s="3"/>
      <c r="E381" s="3"/>
    </row>
    <row r="382" spans="2:5" x14ac:dyDescent="0.25">
      <c r="B382" s="3"/>
      <c r="C382" s="3"/>
      <c r="D382" s="3"/>
      <c r="E382" s="3"/>
    </row>
    <row r="383" spans="2:5" x14ac:dyDescent="0.25">
      <c r="B383" s="3"/>
      <c r="C383" s="3"/>
      <c r="D383" s="3"/>
      <c r="E383" s="3"/>
    </row>
    <row r="384" spans="2:5" x14ac:dyDescent="0.25">
      <c r="B384" s="3"/>
      <c r="C384" s="3"/>
      <c r="D384" s="3"/>
      <c r="E384" s="3"/>
    </row>
    <row r="385" spans="2:5" x14ac:dyDescent="0.25">
      <c r="B385" s="3"/>
      <c r="C385" s="3"/>
      <c r="D385" s="3"/>
      <c r="E385" s="3"/>
    </row>
    <row r="386" spans="2:5" x14ac:dyDescent="0.25">
      <c r="B386" s="3"/>
      <c r="C386" s="3"/>
      <c r="D386" s="3"/>
      <c r="E386" s="3"/>
    </row>
    <row r="387" spans="2:5" x14ac:dyDescent="0.25">
      <c r="B387" s="3"/>
      <c r="C387" s="3"/>
      <c r="D387" s="3"/>
      <c r="E387" s="3"/>
    </row>
    <row r="388" spans="2:5" x14ac:dyDescent="0.25">
      <c r="B388" s="3"/>
      <c r="C388" s="3"/>
      <c r="D388" s="3"/>
      <c r="E388" s="3"/>
    </row>
    <row r="389" spans="2:5" x14ac:dyDescent="0.25">
      <c r="B389" s="3"/>
      <c r="C389" s="3"/>
      <c r="D389" s="3"/>
      <c r="E389" s="3"/>
    </row>
    <row r="390" spans="2:5" x14ac:dyDescent="0.25">
      <c r="B390" s="3"/>
      <c r="C390" s="3"/>
      <c r="D390" s="3"/>
      <c r="E390" s="3"/>
    </row>
    <row r="391" spans="2:5" x14ac:dyDescent="0.25">
      <c r="B391" s="3"/>
      <c r="C391" s="3"/>
      <c r="D391" s="3"/>
      <c r="E391" s="3"/>
    </row>
    <row r="392" spans="2:5" x14ac:dyDescent="0.25">
      <c r="B392" s="3"/>
      <c r="C392" s="3"/>
      <c r="D392" s="3"/>
      <c r="E392" s="3"/>
    </row>
    <row r="393" spans="2:5" x14ac:dyDescent="0.25">
      <c r="B393" s="3"/>
      <c r="C393" s="3"/>
      <c r="D393" s="3"/>
      <c r="E393" s="3"/>
    </row>
    <row r="394" spans="2:5" x14ac:dyDescent="0.25">
      <c r="B394" s="3"/>
      <c r="C394" s="3"/>
      <c r="D394" s="3"/>
      <c r="E394" s="3"/>
    </row>
    <row r="395" spans="2:5" x14ac:dyDescent="0.25">
      <c r="B395" s="3"/>
      <c r="C395" s="3"/>
      <c r="D395" s="3"/>
      <c r="E395" s="3"/>
    </row>
    <row r="396" spans="2:5" x14ac:dyDescent="0.25">
      <c r="B396" s="3"/>
      <c r="C396" s="3"/>
      <c r="D396" s="3"/>
      <c r="E396" s="3"/>
    </row>
    <row r="397" spans="2:5" x14ac:dyDescent="0.25">
      <c r="B397" s="3"/>
      <c r="C397" s="3"/>
      <c r="D397" s="3"/>
      <c r="E397" s="3"/>
    </row>
    <row r="398" spans="2:5" x14ac:dyDescent="0.25">
      <c r="B398" s="3"/>
      <c r="C398" s="3"/>
      <c r="D398" s="3"/>
      <c r="E398" s="3"/>
    </row>
    <row r="399" spans="2:5" x14ac:dyDescent="0.25">
      <c r="B399" s="3"/>
      <c r="C399" s="3"/>
      <c r="D399" s="3"/>
      <c r="E399" s="3"/>
    </row>
    <row r="400" spans="2:5" x14ac:dyDescent="0.25">
      <c r="B400" s="3"/>
      <c r="C400" s="3"/>
      <c r="D400" s="3"/>
      <c r="E400" s="3"/>
    </row>
    <row r="401" spans="2:5" x14ac:dyDescent="0.25">
      <c r="B401" s="3"/>
      <c r="C401" s="3"/>
      <c r="D401" s="3"/>
      <c r="E401" s="3"/>
    </row>
    <row r="402" spans="2:5" x14ac:dyDescent="0.25">
      <c r="B402" s="3"/>
      <c r="C402" s="3"/>
      <c r="D402" s="3"/>
      <c r="E402" s="3"/>
    </row>
    <row r="403" spans="2:5" x14ac:dyDescent="0.25">
      <c r="B403" s="3"/>
      <c r="C403" s="3"/>
      <c r="D403" s="3"/>
      <c r="E403" s="3"/>
    </row>
    <row r="404" spans="2:5" x14ac:dyDescent="0.25">
      <c r="B404" s="3"/>
      <c r="C404" s="3"/>
      <c r="D404" s="3"/>
      <c r="E404" s="3"/>
    </row>
    <row r="405" spans="2:5" x14ac:dyDescent="0.25">
      <c r="B405" s="3"/>
      <c r="C405" s="3"/>
      <c r="D405" s="3"/>
      <c r="E405" s="3"/>
    </row>
    <row r="406" spans="2:5" x14ac:dyDescent="0.25">
      <c r="B406" s="3"/>
      <c r="C406" s="3"/>
      <c r="D406" s="3"/>
      <c r="E406" s="3"/>
    </row>
    <row r="407" spans="2:5" x14ac:dyDescent="0.25">
      <c r="B407" s="3"/>
      <c r="C407" s="3"/>
      <c r="D407" s="3"/>
      <c r="E407" s="3"/>
    </row>
    <row r="408" spans="2:5" x14ac:dyDescent="0.25">
      <c r="B408" s="3"/>
      <c r="C408" s="3"/>
      <c r="D408" s="3"/>
      <c r="E408" s="3"/>
    </row>
    <row r="409" spans="2:5" x14ac:dyDescent="0.25">
      <c r="B409" s="3"/>
      <c r="C409" s="3"/>
      <c r="D409" s="3"/>
      <c r="E409" s="3"/>
    </row>
    <row r="410" spans="2:5" x14ac:dyDescent="0.25">
      <c r="B410" s="3"/>
      <c r="C410" s="3"/>
      <c r="D410" s="3"/>
      <c r="E410" s="3"/>
    </row>
    <row r="411" spans="2:5" x14ac:dyDescent="0.25">
      <c r="B411" s="3"/>
      <c r="C411" s="3"/>
      <c r="D411" s="3"/>
      <c r="E411" s="3"/>
    </row>
    <row r="412" spans="2:5" x14ac:dyDescent="0.25">
      <c r="B412" s="3"/>
      <c r="C412" s="3"/>
      <c r="D412" s="3"/>
      <c r="E412" s="3"/>
    </row>
    <row r="413" spans="2:5" x14ac:dyDescent="0.25">
      <c r="B413" s="3"/>
      <c r="C413" s="3"/>
      <c r="D413" s="3"/>
      <c r="E413" s="3"/>
    </row>
    <row r="414" spans="2:5" x14ac:dyDescent="0.25">
      <c r="B414" s="3"/>
      <c r="C414" s="3"/>
      <c r="D414" s="3"/>
      <c r="E414" s="3"/>
    </row>
    <row r="415" spans="2:5" x14ac:dyDescent="0.25">
      <c r="B415" s="3"/>
      <c r="C415" s="3"/>
      <c r="D415" s="3"/>
      <c r="E415" s="3"/>
    </row>
    <row r="416" spans="2:5" x14ac:dyDescent="0.25">
      <c r="B416" s="3"/>
      <c r="C416" s="3"/>
      <c r="D416" s="3"/>
      <c r="E416" s="3"/>
    </row>
    <row r="417" spans="2:5" x14ac:dyDescent="0.25">
      <c r="B417" s="3"/>
      <c r="C417" s="3"/>
      <c r="D417" s="3"/>
      <c r="E417" s="3"/>
    </row>
    <row r="418" spans="2:5" x14ac:dyDescent="0.25">
      <c r="B418" s="3"/>
      <c r="C418" s="3"/>
      <c r="D418" s="3"/>
      <c r="E418" s="3"/>
    </row>
    <row r="419" spans="2:5" x14ac:dyDescent="0.25">
      <c r="B419" s="3"/>
      <c r="C419" s="3"/>
      <c r="D419" s="3"/>
      <c r="E419" s="3"/>
    </row>
    <row r="420" spans="2:5" x14ac:dyDescent="0.25">
      <c r="B420" s="3"/>
      <c r="C420" s="3"/>
      <c r="D420" s="3"/>
      <c r="E420" s="3"/>
    </row>
    <row r="421" spans="2:5" x14ac:dyDescent="0.25">
      <c r="B421" s="3"/>
      <c r="C421" s="3"/>
      <c r="D421" s="3"/>
      <c r="E421" s="3"/>
    </row>
    <row r="422" spans="2:5" x14ac:dyDescent="0.25">
      <c r="B422" s="3"/>
      <c r="C422" s="3"/>
      <c r="D422" s="3"/>
      <c r="E422" s="3"/>
    </row>
    <row r="423" spans="2:5" x14ac:dyDescent="0.25">
      <c r="B423" s="3"/>
      <c r="C423" s="3"/>
      <c r="D423" s="3"/>
      <c r="E423" s="3"/>
    </row>
    <row r="424" spans="2:5" x14ac:dyDescent="0.25">
      <c r="B424" s="3"/>
      <c r="C424" s="3"/>
      <c r="D424" s="3"/>
      <c r="E424" s="3"/>
    </row>
    <row r="425" spans="2:5" x14ac:dyDescent="0.25">
      <c r="B425" s="3"/>
      <c r="C425" s="3"/>
      <c r="D425" s="3"/>
      <c r="E425" s="3"/>
    </row>
    <row r="426" spans="2:5" x14ac:dyDescent="0.25">
      <c r="B426" s="3"/>
      <c r="C426" s="3"/>
      <c r="D426" s="3"/>
      <c r="E426" s="3"/>
    </row>
    <row r="427" spans="2:5" x14ac:dyDescent="0.25">
      <c r="B427" s="3"/>
      <c r="C427" s="3"/>
      <c r="D427" s="3"/>
      <c r="E427" s="3"/>
    </row>
    <row r="428" spans="2:5" x14ac:dyDescent="0.25">
      <c r="B428" s="3"/>
      <c r="C428" s="3"/>
      <c r="D428" s="3"/>
      <c r="E428" s="3"/>
    </row>
    <row r="429" spans="2:5" x14ac:dyDescent="0.25">
      <c r="B429" s="3"/>
      <c r="C429" s="3"/>
      <c r="D429" s="3"/>
      <c r="E429" s="3"/>
    </row>
    <row r="430" spans="2:5" x14ac:dyDescent="0.25">
      <c r="B430" s="3"/>
      <c r="C430" s="3"/>
      <c r="D430" s="3"/>
      <c r="E430" s="3"/>
    </row>
    <row r="431" spans="2:5" x14ac:dyDescent="0.25">
      <c r="E431" s="3"/>
    </row>
  </sheetData>
  <mergeCells count="3">
    <mergeCell ref="A1:J1"/>
    <mergeCell ref="A2:C2"/>
    <mergeCell ref="A8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A0C5-90B5-46A6-BB1C-A73A99427423}">
  <dimension ref="A1:D7"/>
  <sheetViews>
    <sheetView tabSelected="1" zoomScale="160" zoomScaleNormal="160" workbookViewId="0">
      <selection activeCell="F8" sqref="F8"/>
    </sheetView>
  </sheetViews>
  <sheetFormatPr defaultRowHeight="15" x14ac:dyDescent="0.25"/>
  <cols>
    <col min="1" max="1" width="16.28515625" bestFit="1" customWidth="1"/>
    <col min="2" max="2" width="12.140625" bestFit="1" customWidth="1"/>
    <col min="3" max="3" width="21.140625" bestFit="1" customWidth="1"/>
    <col min="4" max="4" width="10.5703125" bestFit="1" customWidth="1"/>
  </cols>
  <sheetData>
    <row r="1" spans="1:4" x14ac:dyDescent="0.25">
      <c r="A1" t="s">
        <v>33</v>
      </c>
    </row>
    <row r="2" spans="1:4" x14ac:dyDescent="0.25">
      <c r="A2" t="s">
        <v>1</v>
      </c>
      <c r="B2" s="12">
        <v>6000</v>
      </c>
    </row>
    <row r="3" spans="1:4" x14ac:dyDescent="0.25">
      <c r="A3" t="s">
        <v>31</v>
      </c>
      <c r="B3" s="2">
        <v>2.1000000000000001E-2</v>
      </c>
    </row>
    <row r="4" spans="1:4" x14ac:dyDescent="0.25">
      <c r="A4" t="s">
        <v>32</v>
      </c>
      <c r="B4">
        <v>24</v>
      </c>
    </row>
    <row r="5" spans="1:4" x14ac:dyDescent="0.25">
      <c r="A5" t="s">
        <v>34</v>
      </c>
      <c r="B5" s="11">
        <f>PMT(B3,B4,-B2)</f>
        <v>320.83152002406297</v>
      </c>
      <c r="C5" t="s">
        <v>37</v>
      </c>
      <c r="D5" s="3">
        <f>B2*((B3*(1+B3)^B4)/((1+B3)^B4-1))</f>
        <v>320.83152002406445</v>
      </c>
    </row>
    <row r="6" spans="1:4" x14ac:dyDescent="0.25">
      <c r="A6" t="s">
        <v>35</v>
      </c>
      <c r="B6" s="11">
        <f>B5*B4</f>
        <v>7699.9564805775117</v>
      </c>
    </row>
    <row r="7" spans="1:4" x14ac:dyDescent="0.25">
      <c r="A7" t="s">
        <v>36</v>
      </c>
      <c r="B7" s="11">
        <f>B6-B2</f>
        <v>1699.9564805775117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Juros Compostos</vt:lpstr>
      <vt:lpstr>SAC PRICE</vt:lpstr>
      <vt:lpstr>Função PGTO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2026-08-29T14:35:02Z</dcterms:created>
  <dcterms:modified xsi:type="dcterms:W3CDTF">2026-09-05T12:14:57Z</dcterms:modified>
</cp:coreProperties>
</file>