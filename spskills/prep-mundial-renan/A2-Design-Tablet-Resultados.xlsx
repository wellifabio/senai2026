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Worldskill\Downloads\"/>
    </mc:Choice>
  </mc:AlternateContent>
  <xr:revisionPtr revIDLastSave="0" documentId="13_ncr:1_{94A7A5F7-2EDF-4B85-B713-488D46D3A11F}" xr6:coauthVersionLast="47" xr6:coauthVersionMax="47" xr10:uidLastSave="{00000000-0000-0000-0000-000000000000}"/>
  <bookViews>
    <workbookView xWindow="-108" yWindow="-108" windowWidth="23256" windowHeight="12456" xr2:uid="{C0877AE2-38C8-49D6-BA3F-8CE1FD15DE61}"/>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10" i="1" l="1"/>
  <c r="C112" i="1"/>
  <c r="D66" i="1"/>
  <c r="D85" i="1" s="1"/>
  <c r="D110" i="1"/>
  <c r="D112" i="1" s="1"/>
  <c r="D105" i="1"/>
  <c r="D87" i="1"/>
  <c r="D100" i="1"/>
  <c r="D50" i="1"/>
  <c r="D64" i="1" s="1"/>
  <c r="D34" i="1"/>
  <c r="D48" i="1" s="1"/>
  <c r="D32" i="1"/>
  <c r="D21" i="1"/>
  <c r="D8" i="1"/>
  <c r="C105" i="1"/>
  <c r="C100" i="1"/>
  <c r="C66" i="1"/>
  <c r="C85" i="1" s="1"/>
  <c r="C50" i="1"/>
  <c r="C64" i="1" s="1"/>
  <c r="C34" i="1"/>
  <c r="C48" i="1" s="1"/>
  <c r="C32" i="1"/>
  <c r="C21" i="1"/>
  <c r="C8" i="1"/>
  <c r="B110" i="1"/>
  <c r="B112" i="1" s="1"/>
  <c r="E32" i="1"/>
  <c r="E110" i="1"/>
  <c r="E112" i="1" s="1"/>
  <c r="E105" i="1"/>
  <c r="E87" i="1"/>
  <c r="E100" i="1" s="1"/>
  <c r="E66" i="1"/>
  <c r="E85" i="1" s="1"/>
  <c r="B66" i="1"/>
  <c r="B85" i="1"/>
  <c r="E48" i="1"/>
  <c r="E50" i="1"/>
  <c r="E64" i="1" s="1"/>
  <c r="B50" i="1"/>
  <c r="B64" i="1" s="1"/>
  <c r="E21" i="1"/>
  <c r="E8" i="1"/>
  <c r="B105" i="1"/>
  <c r="B87" i="1"/>
  <c r="B100" i="1" s="1"/>
  <c r="B34" i="1"/>
  <c r="B48" i="1" s="1"/>
  <c r="B8" i="1"/>
  <c r="B21" i="1"/>
  <c r="B32" i="1"/>
</calcChain>
</file>

<file path=xl/sharedStrings.xml><?xml version="1.0" encoding="utf-8"?>
<sst xmlns="http://schemas.openxmlformats.org/spreadsheetml/2006/main" count="109" uniqueCount="89">
  <si>
    <t>1. Logotipo;</t>
  </si>
  <si>
    <t>3. A Splash Screen deve ter uma duração de 5 segundos;</t>
  </si>
  <si>
    <t>4. O usuário deve ser redirecionado para a tela “Tutorial de Integração”.</t>
  </si>
  <si>
    <t>2. Você também deverá criar uma animação para o fundo da tela de acordo com a Guia de Estilos da marca</t>
  </si>
  <si>
    <t>1. O logotipo deve conter uma animação na qual começa com o logo aparecendo na tela, centralizado horizontalmente e verticalmente, com o aumento de opacidade;</t>
  </si>
  <si>
    <t>1. Imagens dos slides;</t>
  </si>
  <si>
    <t>2. Título dos slides (vide media-files);</t>
  </si>
  <si>
    <t>3. Texto dos slides (vide media-files);</t>
  </si>
  <si>
    <t>4. Dots do carrossel;</t>
  </si>
  <si>
    <t>5. Botões de “Pular”;</t>
  </si>
  <si>
    <t>6. Botão de “Logar”;</t>
  </si>
  <si>
    <t>1. Os elementos da tela devem aparecer, de forma encadeada, de baixo para cima;</t>
  </si>
  <si>
    <t>2. O carrossel deve ser funcional através do gesto swipe;</t>
  </si>
  <si>
    <t>3. Os dots devem ser destacados de acordo com o slide que está sendo exibido;</t>
  </si>
  <si>
    <t>4. Ao dar um tap nos botões “Pular” ou “Logar”, o usuário deverá ser redirecionado para a tela “Login”;</t>
  </si>
  <si>
    <t xml:space="preserve">5. Os elementos da tela devem desaparecer, de forma encadeada, de cima para baixo. </t>
  </si>
  <si>
    <t>Critérios</t>
  </si>
  <si>
    <t>Pontos</t>
  </si>
  <si>
    <t>Beatriz</t>
  </si>
  <si>
    <t>Gerbi</t>
  </si>
  <si>
    <t>Leadro</t>
  </si>
  <si>
    <t>3. Input com o placeholder “E-mail ou CPF”;</t>
  </si>
  <si>
    <t>4. Input com placeholder “Senha”;</t>
  </si>
  <si>
    <t>5. Botão “Entrar”;</t>
  </si>
  <si>
    <t>2. Deve haver uma simulação de entrada de dados com CPF + senha nos inputs;</t>
  </si>
  <si>
    <t>3. Deve haver uma simulação de entrada de dados com e-mail + senha nos inputs;</t>
  </si>
  <si>
    <t>1. Texto “Bem-vindo(a) à Gestão do RH da Case4You!”;</t>
  </si>
  <si>
    <t>4. Quando o usuário der um tap em “Entrar”, ele deve receber uma notificação do tipo toasty com o texto “Login realizado com sucesso!”;</t>
  </si>
  <si>
    <t>1. Barra lateral com:</t>
  </si>
  <si>
    <t>• Logotipo;</t>
  </si>
  <si>
    <t>• Itens de menu;</t>
  </si>
  <si>
    <t>2. Título;</t>
  </si>
  <si>
    <t>3. Foto;</t>
  </si>
  <si>
    <t>4. Card de colaboradores, com total de colaboradores(as): 87;</t>
  </si>
  <si>
    <t>5. Card de contratações, com contratações do último trimestre: Janeiro (5), Fevereiro (2), Março (1);</t>
  </si>
  <si>
    <t>6. Card de turnover, com turnover dos últimos 3 meses: Janeiro (3), Fevereiro (3), Março (2);</t>
  </si>
  <si>
    <t>2. Todos os gráficos devem apresentar animação percorrendo todos os números até o valor final;</t>
  </si>
  <si>
    <t>3. Ao dar um tap em “Colaboradores(as)” o usuário deverá ser redirecionado para a tela “Colaboradores(as)”;</t>
  </si>
  <si>
    <t>4. Ao dar um tap no card de satisfação, o usuário deverá ser redirecionado para a tela “Avaliações”;</t>
  </si>
  <si>
    <t>5. Os elementos da tela devem desaparecer, de forma encadeada, de cima para baixo.</t>
  </si>
  <si>
    <t>a. Logotipo;</t>
  </si>
  <si>
    <t>b. Itens de menu;</t>
  </si>
  <si>
    <t>4. Barra de busca com ícones de filtro e buscar;</t>
  </si>
  <si>
    <t>5. Botão “Cadastrar Colaborador(a)”;</t>
  </si>
  <si>
    <t>6. Texto “Lista de Colaboradores”;</t>
  </si>
  <si>
    <t>7. Cards de colaboradores com foto, nome, cargo, tempo na empresa, ícone de edição, ícone de remoção;</t>
  </si>
  <si>
    <t>3. Ao dar um tap no ícone de excluir, deve existir uma simulação de exclusão de um colaborador;</t>
  </si>
  <si>
    <t>4. Ao dar um tap em uma imagem a mesma deve aparecer maior em uma modal;</t>
  </si>
  <si>
    <t>3. Ícone de troca de tema;</t>
  </si>
  <si>
    <t>4. Foto;</t>
  </si>
  <si>
    <t>5. Input com placeholder “Nome Completo”;</t>
  </si>
  <si>
    <t>6. Input com placeholder “Rua ou Avenida”;</t>
  </si>
  <si>
    <t>7. Input com placeholder “Número”;</t>
  </si>
  <si>
    <t>8. Input com placeholder “Bairro”;</t>
  </si>
  <si>
    <t>9. Input com placeholder “CEP”;</t>
  </si>
  <si>
    <t>10. Input com placeholder “Cidade”;</t>
  </si>
  <si>
    <t>11. Input com placeholder “Estado”;</t>
  </si>
  <si>
    <t>12. Botão “Cadastrar”;</t>
  </si>
  <si>
    <t>2. Deve ser possível trocar entre Light e Dark Mode;</t>
  </si>
  <si>
    <t>3. Deve haver uma simulação de entrada de dados nos inputs;</t>
  </si>
  <si>
    <t>=</t>
  </si>
  <si>
    <t>4. Barra de busca com ícone de filtro e busca;</t>
  </si>
  <si>
    <t>5. Texto “Lista de Avaliações”;</t>
  </si>
  <si>
    <t>6. Tabela de avaliações;</t>
  </si>
  <si>
    <t>2. Deve existir uma simulação na qual o(a) gestor(a) deve conseguir realizar a busca sem a utilização</t>
  </si>
  <si>
    <t>de filtros;</t>
  </si>
  <si>
    <t xml:space="preserve">4. Os elementos da tela devem desaparecer, de forma encadeada, de cima para baixo. </t>
  </si>
  <si>
    <t>1. Todos os textos dos componentes devem ser exatamente iguais como são escritos neste Projeto Teste;</t>
  </si>
  <si>
    <t>2. O aplicativo deve seguir os padrões de acessibilidade entre os textos e os fundos dos componentes;</t>
  </si>
  <si>
    <t>3. Deve ser criada 1 tela extra com o objetivo de integrar as demais e a solução proposta para a empresa;</t>
  </si>
  <si>
    <t>4. Você deve seguir a guia de estilos abaixo para desenvolver o aplicativo e suas funcionalidades:</t>
  </si>
  <si>
    <t>1. Fez menos que o mínimo</t>
  </si>
  <si>
    <t>2. Fez o básico</t>
  </si>
  <si>
    <t>3. Fez o básico com perfeição</t>
  </si>
  <si>
    <t>4. Fez a mais do que foi pedido</t>
  </si>
  <si>
    <t>7. Card com satisfação dos colaboradores, com satisfação dos colaboradores dos últimos 3 meses: Janeiro (80%), Fevereiro (72%), Março (63%).</t>
  </si>
  <si>
    <t>2. Ao dar um tap no ícone de edição, o usuário deverá visualizar uma modal com os detalhes do colaborador com foto, nome, área de atuação e tempo na Case4You;</t>
  </si>
  <si>
    <t>4. Ao dar um tap em cadastrar uma mensagem do tipo toasty deve aparecer com o texto “Colaborador(a) cadastrado(a) com sucesso!”;</t>
  </si>
  <si>
    <t>3. Deve existir uma simulação na qual o(a) gestor(a) deve conseguir realizar a busca com a utilização de filtro ao dar um tap no ícone de filtro, após isto, deve aparecer uma modal para filtrar por Área de Atuação do colaborador, acompanhado de um botão escrito “Buscar Avaliação”;</t>
  </si>
  <si>
    <t>TOTAL</t>
  </si>
  <si>
    <t>Splash Screen</t>
  </si>
  <si>
    <t>Tutorial de Integração</t>
  </si>
  <si>
    <t>Total</t>
  </si>
  <si>
    <t>Totais</t>
  </si>
  <si>
    <t>Login</t>
  </si>
  <si>
    <t>Dashboard</t>
  </si>
  <si>
    <t>Colaboradores</t>
  </si>
  <si>
    <t>Cadastrar colaborador</t>
  </si>
  <si>
    <t>Avaliação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</si>
</sst>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23">
    <xf numFmtId="0" fontId="0" fillId="0" borderId="0" xfId="0"/>
    <xf numFmtId="0" fontId="0" fillId="0" borderId="0" xfId="0" applyAlignment="1">
      <alignment wrapText="1"/>
    </xf>
    <xf numFmtId="0" fontId="0" fillId="3" borderId="0" xfId="0" applyFill="1"/>
    <xf numFmtId="0" fontId="1" fillId="0" borderId="0" xfId="0" applyFont="1"/>
    <xf numFmtId="0" fontId="0" fillId="3" borderId="0" xfId="0" applyFill="1" applyAlignment="1">
      <alignment wrapText="1"/>
    </xf>
    <xf numFmtId="0" fontId="0" fillId="4" borderId="0" xfId="0" applyFill="1" applyAlignment="1">
      <alignment horizontal="center"/>
    </xf>
    <xf numFmtId="43" fontId="0" fillId="0" borderId="0" xfId="1" applyFont="1"/>
    <xf numFmtId="43" fontId="1" fillId="0" borderId="0" xfId="1" applyNumberFormat="1" applyFont="1"/>
    <xf numFmtId="43" fontId="0" fillId="0" borderId="0" xfId="1" applyNumberFormat="1" applyFont="1"/>
    <xf numFmtId="43" fontId="1" fillId="2" borderId="2" xfId="1" applyNumberFormat="1" applyFont="1" applyFill="1" applyBorder="1"/>
    <xf numFmtId="43" fontId="1" fillId="0" borderId="2" xfId="1" applyNumberFormat="1" applyFont="1" applyBorder="1"/>
    <xf numFmtId="43" fontId="0" fillId="0" borderId="0" xfId="1" applyNumberFormat="1" applyFont="1" applyAlignment="1">
      <alignment wrapText="1"/>
    </xf>
    <xf numFmtId="43" fontId="0" fillId="0" borderId="2" xfId="1" applyNumberFormat="1" applyFont="1" applyBorder="1"/>
    <xf numFmtId="43" fontId="0" fillId="2" borderId="2" xfId="1" applyNumberFormat="1" applyFont="1" applyFill="1" applyBorder="1"/>
    <xf numFmtId="43" fontId="0" fillId="2" borderId="3" xfId="1" applyFont="1" applyFill="1" applyBorder="1"/>
    <xf numFmtId="43" fontId="0" fillId="2" borderId="4" xfId="1" applyFont="1" applyFill="1" applyBorder="1"/>
    <xf numFmtId="43" fontId="0" fillId="2" borderId="1" xfId="1" applyFont="1" applyFill="1" applyBorder="1"/>
    <xf numFmtId="0" fontId="4" fillId="0" borderId="0" xfId="0" applyFont="1" applyAlignment="1">
      <alignment wrapText="1"/>
    </xf>
    <xf numFmtId="43" fontId="0" fillId="0" borderId="0" xfId="1" applyNumberFormat="1" applyFont="1" applyFill="1"/>
    <xf numFmtId="43" fontId="0" fillId="0" borderId="0" xfId="1" applyFont="1" applyFill="1"/>
    <xf numFmtId="0" fontId="4" fillId="0" borderId="0" xfId="0" applyFont="1" applyFill="1" applyAlignment="1">
      <alignment wrapText="1"/>
    </xf>
    <xf numFmtId="43" fontId="1" fillId="0" borderId="0" xfId="1" applyNumberFormat="1" applyFont="1" applyFill="1" applyBorder="1"/>
    <xf numFmtId="43" fontId="0" fillId="0" borderId="0" xfId="1" applyFont="1" applyFill="1" applyBorder="1"/>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A9AB5-E689-4054-A58C-EF924DA291D7}">
  <dimension ref="A1:Z112"/>
  <sheetViews>
    <sheetView tabSelected="1" workbookViewId="0">
      <selection activeCell="C13" sqref="C13"/>
    </sheetView>
  </sheetViews>
  <sheetFormatPr defaultRowHeight="14.4" x14ac:dyDescent="0.3"/>
  <cols>
    <col min="1" max="1" width="79.5546875" customWidth="1"/>
    <col min="2" max="2" width="8.88671875" style="8"/>
    <col min="3" max="5" width="8.88671875" style="6"/>
  </cols>
  <sheetData>
    <row r="1" spans="1:5" x14ac:dyDescent="0.3">
      <c r="A1" s="3" t="s">
        <v>16</v>
      </c>
      <c r="B1" s="7" t="s">
        <v>17</v>
      </c>
      <c r="C1" s="6" t="s">
        <v>18</v>
      </c>
      <c r="D1" s="6" t="s">
        <v>19</v>
      </c>
      <c r="E1" s="6" t="s">
        <v>20</v>
      </c>
    </row>
    <row r="2" spans="1:5" ht="15.6" x14ac:dyDescent="0.3">
      <c r="A2" s="17" t="s">
        <v>80</v>
      </c>
      <c r="B2" s="7"/>
    </row>
    <row r="3" spans="1:5" x14ac:dyDescent="0.3">
      <c r="A3" t="s">
        <v>0</v>
      </c>
      <c r="B3" s="8">
        <v>0.16999999999999998</v>
      </c>
      <c r="C3" s="6">
        <v>0.17</v>
      </c>
      <c r="D3" s="6">
        <v>0.17</v>
      </c>
      <c r="E3" s="6">
        <v>0.17</v>
      </c>
    </row>
    <row r="4" spans="1:5" ht="28.8" x14ac:dyDescent="0.3">
      <c r="A4" s="1" t="s">
        <v>4</v>
      </c>
      <c r="B4" s="8">
        <v>0.16999999999999998</v>
      </c>
      <c r="C4" s="6">
        <v>0.17</v>
      </c>
      <c r="D4" s="6">
        <v>0</v>
      </c>
      <c r="E4" s="6">
        <v>0.17</v>
      </c>
    </row>
    <row r="5" spans="1:5" ht="28.8" x14ac:dyDescent="0.3">
      <c r="A5" s="1" t="s">
        <v>3</v>
      </c>
      <c r="B5" s="8">
        <v>0.16999999999999998</v>
      </c>
      <c r="C5" s="6">
        <v>0.17</v>
      </c>
      <c r="D5" s="6">
        <v>0</v>
      </c>
      <c r="E5" s="6">
        <v>0.17</v>
      </c>
    </row>
    <row r="6" spans="1:5" x14ac:dyDescent="0.3">
      <c r="A6" t="s">
        <v>1</v>
      </c>
      <c r="B6" s="8">
        <v>0.16999999999999998</v>
      </c>
      <c r="C6" s="6">
        <v>0.17</v>
      </c>
      <c r="D6" s="6">
        <v>0</v>
      </c>
      <c r="E6" s="6">
        <v>0.17</v>
      </c>
    </row>
    <row r="7" spans="1:5" x14ac:dyDescent="0.3">
      <c r="A7" t="s">
        <v>2</v>
      </c>
      <c r="B7" s="8">
        <v>0.16999999999999998</v>
      </c>
      <c r="C7" s="6">
        <v>0.17</v>
      </c>
      <c r="D7" s="6">
        <v>0</v>
      </c>
      <c r="E7" s="6">
        <v>0</v>
      </c>
    </row>
    <row r="8" spans="1:5" x14ac:dyDescent="0.3">
      <c r="A8" s="2" t="s">
        <v>82</v>
      </c>
      <c r="B8" s="9">
        <f>SUM(B3:B7)</f>
        <v>0.84999999999999987</v>
      </c>
      <c r="C8" s="14">
        <f>SUM(C3:C7)</f>
        <v>0.85000000000000009</v>
      </c>
      <c r="D8" s="14">
        <f>SUM(D3:D7)</f>
        <v>0.17</v>
      </c>
      <c r="E8" s="15">
        <f>SUM(E3:E7)</f>
        <v>0.68</v>
      </c>
    </row>
    <row r="9" spans="1:5" ht="15.6" x14ac:dyDescent="0.3">
      <c r="A9" s="20" t="s">
        <v>81</v>
      </c>
      <c r="B9" s="21"/>
      <c r="C9" s="22"/>
      <c r="D9" s="22"/>
      <c r="E9" s="22"/>
    </row>
    <row r="10" spans="1:5" x14ac:dyDescent="0.3">
      <c r="A10" t="s">
        <v>5</v>
      </c>
      <c r="B10" s="18">
        <v>0.145454545454545</v>
      </c>
      <c r="C10" s="19">
        <v>0.145454545454545</v>
      </c>
      <c r="D10" s="19">
        <v>0.145454545454545</v>
      </c>
      <c r="E10" s="19">
        <v>0.145454545454545</v>
      </c>
    </row>
    <row r="11" spans="1:5" x14ac:dyDescent="0.3">
      <c r="A11" t="s">
        <v>6</v>
      </c>
      <c r="B11" s="8">
        <v>0.145454545454545</v>
      </c>
      <c r="C11" s="6">
        <v>0.145454545454545</v>
      </c>
      <c r="D11" s="6">
        <v>0.145454545454545</v>
      </c>
      <c r="E11" s="6">
        <v>0.145454545454545</v>
      </c>
    </row>
    <row r="12" spans="1:5" x14ac:dyDescent="0.3">
      <c r="A12" t="s">
        <v>7</v>
      </c>
      <c r="B12" s="8">
        <v>0.145454545454545</v>
      </c>
      <c r="C12" s="6">
        <v>0.145454545454545</v>
      </c>
      <c r="D12" s="6">
        <v>0.145454545454545</v>
      </c>
      <c r="E12" s="6">
        <v>0.145454545454545</v>
      </c>
    </row>
    <row r="13" spans="1:5" x14ac:dyDescent="0.3">
      <c r="A13" s="1" t="s">
        <v>8</v>
      </c>
      <c r="B13" s="8">
        <v>0.145454545454545</v>
      </c>
      <c r="C13" s="6">
        <v>0.145454545454545</v>
      </c>
      <c r="D13" s="6">
        <v>0</v>
      </c>
      <c r="E13" s="6">
        <v>0.145454545454545</v>
      </c>
    </row>
    <row r="14" spans="1:5" x14ac:dyDescent="0.3">
      <c r="A14" s="1" t="s">
        <v>9</v>
      </c>
      <c r="B14" s="8">
        <v>0.145454545454545</v>
      </c>
      <c r="C14" s="6">
        <v>0.145454545454545</v>
      </c>
      <c r="D14" s="6">
        <v>0.145454545454545</v>
      </c>
      <c r="E14" s="6">
        <v>0.145454545454545</v>
      </c>
    </row>
    <row r="15" spans="1:5" x14ac:dyDescent="0.3">
      <c r="A15" s="1" t="s">
        <v>10</v>
      </c>
      <c r="B15" s="8">
        <v>0.145454545454545</v>
      </c>
      <c r="C15" s="6">
        <v>0.145454545454545</v>
      </c>
      <c r="D15" s="6">
        <v>0.145454545454545</v>
      </c>
      <c r="E15" s="6">
        <v>0.145454545454545</v>
      </c>
    </row>
    <row r="16" spans="1:5" x14ac:dyDescent="0.3">
      <c r="A16" s="1" t="s">
        <v>11</v>
      </c>
      <c r="B16" s="8">
        <v>0.145454545454545</v>
      </c>
      <c r="C16" s="6">
        <v>0</v>
      </c>
      <c r="D16" s="6">
        <v>0</v>
      </c>
      <c r="E16" s="6">
        <v>0</v>
      </c>
    </row>
    <row r="17" spans="1:5" x14ac:dyDescent="0.3">
      <c r="A17" s="1" t="s">
        <v>12</v>
      </c>
      <c r="B17" s="8">
        <v>0.145454545454545</v>
      </c>
      <c r="C17" s="6">
        <v>0</v>
      </c>
      <c r="D17" s="6">
        <v>0</v>
      </c>
      <c r="E17" s="6">
        <v>0</v>
      </c>
    </row>
    <row r="18" spans="1:5" x14ac:dyDescent="0.3">
      <c r="A18" s="1" t="s">
        <v>13</v>
      </c>
      <c r="B18" s="8">
        <v>0.145454545454545</v>
      </c>
      <c r="C18" s="6">
        <v>0</v>
      </c>
      <c r="D18" s="6">
        <v>0</v>
      </c>
      <c r="E18" s="6">
        <v>0.145454545454545</v>
      </c>
    </row>
    <row r="19" spans="1:5" ht="28.8" x14ac:dyDescent="0.3">
      <c r="A19" s="1" t="s">
        <v>14</v>
      </c>
      <c r="B19" s="8">
        <v>0.145454545454545</v>
      </c>
      <c r="C19" s="6">
        <v>0</v>
      </c>
      <c r="D19" s="6">
        <v>0</v>
      </c>
      <c r="E19" s="6">
        <v>0</v>
      </c>
    </row>
    <row r="20" spans="1:5" x14ac:dyDescent="0.3">
      <c r="A20" s="1" t="s">
        <v>15</v>
      </c>
      <c r="B20" s="8">
        <v>0.145454545454545</v>
      </c>
      <c r="C20" s="6">
        <v>0</v>
      </c>
      <c r="D20" s="6">
        <v>0</v>
      </c>
      <c r="E20" s="6">
        <v>0</v>
      </c>
    </row>
    <row r="21" spans="1:5" x14ac:dyDescent="0.3">
      <c r="A21" s="4" t="s">
        <v>83</v>
      </c>
      <c r="B21" s="9">
        <f>SUM(B10:B20)</f>
        <v>1.5999999999999954</v>
      </c>
      <c r="C21" s="14">
        <f>SUM(C10:C20)</f>
        <v>0.87272727272727013</v>
      </c>
      <c r="D21" s="14">
        <f>SUM(D10:D20)</f>
        <v>0.72727272727272507</v>
      </c>
      <c r="E21" s="15">
        <f>SUM(E10:E20)</f>
        <v>1.0181818181818152</v>
      </c>
    </row>
    <row r="22" spans="1:5" ht="15.6" x14ac:dyDescent="0.3">
      <c r="A22" s="20" t="s">
        <v>84</v>
      </c>
      <c r="B22" s="21"/>
      <c r="C22" s="22"/>
      <c r="D22" s="22"/>
      <c r="E22" s="22"/>
    </row>
    <row r="23" spans="1:5" x14ac:dyDescent="0.3">
      <c r="A23" s="1" t="s">
        <v>26</v>
      </c>
      <c r="B23" s="8">
        <v>0.105555555555555</v>
      </c>
      <c r="C23" s="6">
        <v>0.105555555555555</v>
      </c>
      <c r="D23" s="6">
        <v>0.105555555555555</v>
      </c>
      <c r="E23" s="6">
        <v>0.105555555555555</v>
      </c>
    </row>
    <row r="24" spans="1:5" x14ac:dyDescent="0.3">
      <c r="A24" s="1" t="s">
        <v>21</v>
      </c>
      <c r="B24" s="8">
        <v>0.105555555555555</v>
      </c>
      <c r="C24" s="6">
        <v>0.105555555555555</v>
      </c>
      <c r="D24" s="6">
        <v>0.105555555555555</v>
      </c>
      <c r="E24" s="6">
        <v>0.105555555555555</v>
      </c>
    </row>
    <row r="25" spans="1:5" x14ac:dyDescent="0.3">
      <c r="A25" s="1" t="s">
        <v>22</v>
      </c>
      <c r="B25" s="8">
        <v>0.105555555555555</v>
      </c>
      <c r="C25" s="6">
        <v>0.105555555555555</v>
      </c>
      <c r="D25" s="6">
        <v>0.105555555555555</v>
      </c>
      <c r="E25" s="6">
        <v>0.105555555555555</v>
      </c>
    </row>
    <row r="26" spans="1:5" x14ac:dyDescent="0.3">
      <c r="A26" s="1" t="s">
        <v>23</v>
      </c>
      <c r="B26" s="8">
        <v>0.105555555555555</v>
      </c>
      <c r="C26" s="6">
        <v>0.105555555555555</v>
      </c>
      <c r="D26" s="6">
        <v>0.105555555555555</v>
      </c>
      <c r="E26" s="6">
        <v>0.105555555555555</v>
      </c>
    </row>
    <row r="27" spans="1:5" x14ac:dyDescent="0.3">
      <c r="A27" s="1" t="s">
        <v>11</v>
      </c>
      <c r="B27" s="8">
        <v>0.105555555555555</v>
      </c>
      <c r="C27" s="6">
        <v>0</v>
      </c>
      <c r="D27" s="6">
        <v>0</v>
      </c>
      <c r="E27" s="6">
        <v>0</v>
      </c>
    </row>
    <row r="28" spans="1:5" x14ac:dyDescent="0.3">
      <c r="A28" s="1" t="s">
        <v>24</v>
      </c>
      <c r="B28" s="8">
        <v>0.105555555555555</v>
      </c>
      <c r="C28" s="6">
        <v>0</v>
      </c>
      <c r="D28" s="6">
        <v>0</v>
      </c>
      <c r="E28" s="6">
        <v>0</v>
      </c>
    </row>
    <row r="29" spans="1:5" x14ac:dyDescent="0.3">
      <c r="A29" s="1" t="s">
        <v>25</v>
      </c>
      <c r="B29" s="8">
        <v>0.105555555555555</v>
      </c>
      <c r="C29" s="6">
        <v>0</v>
      </c>
      <c r="D29" s="6">
        <v>0</v>
      </c>
      <c r="E29" s="6">
        <v>0</v>
      </c>
    </row>
    <row r="30" spans="1:5" ht="28.8" x14ac:dyDescent="0.3">
      <c r="A30" s="1" t="s">
        <v>27</v>
      </c>
      <c r="B30" s="8">
        <v>0.105555555555555</v>
      </c>
      <c r="C30" s="6">
        <v>0.105555555555555</v>
      </c>
      <c r="D30" s="6">
        <v>0</v>
      </c>
      <c r="E30" s="6">
        <v>0</v>
      </c>
    </row>
    <row r="31" spans="1:5" x14ac:dyDescent="0.3">
      <c r="A31" s="1" t="s">
        <v>15</v>
      </c>
      <c r="B31" s="8">
        <v>0.105555555555555</v>
      </c>
      <c r="C31" s="6">
        <v>0</v>
      </c>
      <c r="D31" s="6">
        <v>0</v>
      </c>
      <c r="E31" s="6">
        <v>0</v>
      </c>
    </row>
    <row r="32" spans="1:5" x14ac:dyDescent="0.3">
      <c r="A32" s="4"/>
      <c r="B32" s="10">
        <f>SUM(B23:B31)</f>
        <v>0.94999999999999485</v>
      </c>
      <c r="C32" s="14">
        <f>SUM(C23:C31)</f>
        <v>0.52777777777777501</v>
      </c>
      <c r="D32" s="16">
        <f>SUM(D23:D31)</f>
        <v>0.42222222222222</v>
      </c>
      <c r="E32" s="15">
        <f>SUM(E23:E31)</f>
        <v>0.42222222222222</v>
      </c>
    </row>
    <row r="33" spans="1:5" ht="15.6" x14ac:dyDescent="0.3">
      <c r="A33" s="20" t="s">
        <v>85</v>
      </c>
      <c r="B33" s="21"/>
      <c r="C33" s="22"/>
      <c r="D33" s="22"/>
      <c r="E33" s="22"/>
    </row>
    <row r="34" spans="1:5" x14ac:dyDescent="0.3">
      <c r="A34" s="1" t="s">
        <v>28</v>
      </c>
      <c r="B34" s="8">
        <f>SUM(B35:B36)</f>
        <v>0.15</v>
      </c>
      <c r="C34" s="6">
        <f>SUM(C35:C36)</f>
        <v>0.15</v>
      </c>
      <c r="D34" s="6">
        <f>SUM(D35:D36)</f>
        <v>0.15</v>
      </c>
      <c r="E34" s="6">
        <v>0.15</v>
      </c>
    </row>
    <row r="35" spans="1:5" x14ac:dyDescent="0.3">
      <c r="A35" s="1" t="s">
        <v>29</v>
      </c>
      <c r="B35" s="11">
        <v>7.4999999999999997E-2</v>
      </c>
      <c r="C35" s="6">
        <v>7.4999999999999997E-2</v>
      </c>
      <c r="D35" s="6">
        <v>7.4999999999999997E-2</v>
      </c>
      <c r="E35" s="6">
        <v>7.4999999999999997E-2</v>
      </c>
    </row>
    <row r="36" spans="1:5" x14ac:dyDescent="0.3">
      <c r="A36" s="1" t="s">
        <v>30</v>
      </c>
      <c r="B36" s="8">
        <v>7.4999999999999997E-2</v>
      </c>
      <c r="C36" s="6">
        <v>7.4999999999999997E-2</v>
      </c>
      <c r="D36" s="6">
        <v>7.4999999999999997E-2</v>
      </c>
      <c r="E36" s="6">
        <v>7.4999999999999997E-2</v>
      </c>
    </row>
    <row r="37" spans="1:5" x14ac:dyDescent="0.3">
      <c r="A37" s="1" t="s">
        <v>31</v>
      </c>
      <c r="B37" s="8">
        <v>0.15</v>
      </c>
      <c r="C37" s="6">
        <v>0.15</v>
      </c>
      <c r="D37" s="6">
        <v>0.15</v>
      </c>
      <c r="E37" s="6">
        <v>0.15</v>
      </c>
    </row>
    <row r="38" spans="1:5" x14ac:dyDescent="0.3">
      <c r="A38" s="1" t="s">
        <v>32</v>
      </c>
      <c r="B38" s="8">
        <v>0.15</v>
      </c>
      <c r="C38" s="6">
        <v>0.15</v>
      </c>
      <c r="D38" s="6">
        <v>0.15</v>
      </c>
      <c r="E38" s="6">
        <v>0.15</v>
      </c>
    </row>
    <row r="39" spans="1:5" x14ac:dyDescent="0.3">
      <c r="A39" s="1" t="s">
        <v>33</v>
      </c>
      <c r="B39" s="8">
        <v>0.15</v>
      </c>
      <c r="C39" s="6">
        <v>0.15</v>
      </c>
      <c r="D39" s="6">
        <v>0</v>
      </c>
      <c r="E39" s="6">
        <v>0.15</v>
      </c>
    </row>
    <row r="40" spans="1:5" ht="28.8" x14ac:dyDescent="0.3">
      <c r="A40" s="1" t="s">
        <v>34</v>
      </c>
      <c r="B40" s="8">
        <v>0.15</v>
      </c>
      <c r="C40" s="6">
        <v>0</v>
      </c>
      <c r="D40" s="6">
        <v>0</v>
      </c>
      <c r="E40" s="6">
        <v>0.15</v>
      </c>
    </row>
    <row r="41" spans="1:5" x14ac:dyDescent="0.3">
      <c r="A41" s="1" t="s">
        <v>35</v>
      </c>
      <c r="B41" s="8">
        <v>0.15</v>
      </c>
      <c r="C41" s="6">
        <v>0</v>
      </c>
      <c r="D41" s="6">
        <v>0</v>
      </c>
      <c r="E41" s="6">
        <v>0.15</v>
      </c>
    </row>
    <row r="42" spans="1:5" ht="28.8" x14ac:dyDescent="0.3">
      <c r="A42" s="1" t="s">
        <v>75</v>
      </c>
      <c r="B42" s="8">
        <v>0.15</v>
      </c>
      <c r="C42" s="6">
        <v>0.15</v>
      </c>
      <c r="D42" s="6">
        <v>0</v>
      </c>
      <c r="E42" s="6">
        <v>0.15</v>
      </c>
    </row>
    <row r="43" spans="1:5" x14ac:dyDescent="0.3">
      <c r="A43" s="1" t="s">
        <v>11</v>
      </c>
      <c r="B43" s="8">
        <v>0.15</v>
      </c>
      <c r="C43" s="6">
        <v>0</v>
      </c>
      <c r="D43" s="6">
        <v>0</v>
      </c>
      <c r="E43" s="6">
        <v>0</v>
      </c>
    </row>
    <row r="44" spans="1:5" x14ac:dyDescent="0.3">
      <c r="A44" s="1" t="s">
        <v>36</v>
      </c>
      <c r="B44" s="8">
        <v>0.15</v>
      </c>
      <c r="C44" s="6">
        <v>0</v>
      </c>
      <c r="D44" s="6">
        <v>0</v>
      </c>
      <c r="E44" s="6">
        <v>0</v>
      </c>
    </row>
    <row r="45" spans="1:5" ht="28.8" x14ac:dyDescent="0.3">
      <c r="A45" s="1" t="s">
        <v>37</v>
      </c>
      <c r="B45" s="8">
        <v>0.15</v>
      </c>
      <c r="C45" s="6">
        <v>0.15</v>
      </c>
      <c r="D45" s="6">
        <v>0</v>
      </c>
      <c r="E45" s="6">
        <v>0</v>
      </c>
    </row>
    <row r="46" spans="1:5" ht="28.8" x14ac:dyDescent="0.3">
      <c r="A46" s="1" t="s">
        <v>38</v>
      </c>
      <c r="B46" s="8">
        <v>0.15</v>
      </c>
      <c r="C46" s="6">
        <v>0</v>
      </c>
      <c r="D46" s="6">
        <v>0</v>
      </c>
      <c r="E46" s="6">
        <v>0</v>
      </c>
    </row>
    <row r="47" spans="1:5" x14ac:dyDescent="0.3">
      <c r="A47" s="1" t="s">
        <v>39</v>
      </c>
      <c r="B47" s="8">
        <v>0.15</v>
      </c>
      <c r="C47" s="6">
        <v>0</v>
      </c>
      <c r="D47" s="6">
        <v>0</v>
      </c>
      <c r="E47" s="6">
        <v>0</v>
      </c>
    </row>
    <row r="48" spans="1:5" x14ac:dyDescent="0.3">
      <c r="A48" s="2"/>
      <c r="B48" s="12">
        <f>SUM((B34,B37:B47))</f>
        <v>1.7999999999999996</v>
      </c>
      <c r="C48" s="14">
        <f>SUM(C37:C47,C34)</f>
        <v>0.9</v>
      </c>
      <c r="D48" s="14">
        <f>SUM(D37:D47,D34)</f>
        <v>0.44999999999999996</v>
      </c>
      <c r="E48" s="15">
        <f>SUM(E37:E47,E34)</f>
        <v>1.05</v>
      </c>
    </row>
    <row r="49" spans="1:5" ht="15.6" x14ac:dyDescent="0.3">
      <c r="A49" s="20" t="s">
        <v>86</v>
      </c>
      <c r="B49" s="21"/>
      <c r="C49" s="22"/>
      <c r="D49" s="22"/>
      <c r="E49" s="22"/>
    </row>
    <row r="50" spans="1:5" x14ac:dyDescent="0.3">
      <c r="A50" s="1" t="s">
        <v>28</v>
      </c>
      <c r="B50" s="8">
        <f>SUM(B51:B52)</f>
        <v>0.1576923076923076</v>
      </c>
      <c r="C50" s="6">
        <f>SUM(C51:C52)</f>
        <v>0.1576923076923076</v>
      </c>
      <c r="D50" s="6">
        <f>SUM(D51:D52)</f>
        <v>0.1576923076923076</v>
      </c>
      <c r="E50" s="6">
        <f>SUM(E51:E52)</f>
        <v>0.1576923076923076</v>
      </c>
    </row>
    <row r="51" spans="1:5" x14ac:dyDescent="0.3">
      <c r="A51" s="1" t="s">
        <v>40</v>
      </c>
      <c r="B51" s="8">
        <v>7.8846153846153802E-2</v>
      </c>
      <c r="C51" s="6">
        <v>7.8846153846153802E-2</v>
      </c>
      <c r="D51" s="6">
        <v>7.8846153846153802E-2</v>
      </c>
      <c r="E51" s="6">
        <v>7.8846153846153802E-2</v>
      </c>
    </row>
    <row r="52" spans="1:5" x14ac:dyDescent="0.3">
      <c r="A52" s="1" t="s">
        <v>41</v>
      </c>
      <c r="B52" s="8">
        <v>7.8846153846153802E-2</v>
      </c>
      <c r="C52" s="6">
        <v>7.8846153846153802E-2</v>
      </c>
      <c r="D52" s="6">
        <v>7.8846153846153802E-2</v>
      </c>
      <c r="E52" s="6">
        <v>7.8846153846153802E-2</v>
      </c>
    </row>
    <row r="53" spans="1:5" x14ac:dyDescent="0.3">
      <c r="A53" s="1" t="s">
        <v>31</v>
      </c>
      <c r="B53" s="8">
        <v>0.15769230769230699</v>
      </c>
      <c r="C53" s="6">
        <v>0.15769230769230699</v>
      </c>
      <c r="D53" s="6">
        <v>0.15769230769230699</v>
      </c>
      <c r="E53" s="6">
        <v>0.15769230769230699</v>
      </c>
    </row>
    <row r="54" spans="1:5" x14ac:dyDescent="0.3">
      <c r="A54" s="1" t="s">
        <v>32</v>
      </c>
      <c r="B54" s="8">
        <v>0.15769230769230699</v>
      </c>
      <c r="C54" s="6">
        <v>0.15769230769230699</v>
      </c>
      <c r="D54" s="6">
        <v>0.15769230769230699</v>
      </c>
      <c r="E54" s="6">
        <v>0.15769230769230699</v>
      </c>
    </row>
    <row r="55" spans="1:5" x14ac:dyDescent="0.3">
      <c r="A55" s="1" t="s">
        <v>42</v>
      </c>
      <c r="B55" s="8">
        <v>0.15769230769230699</v>
      </c>
      <c r="C55" s="6">
        <v>0.11826923076923</v>
      </c>
      <c r="D55" s="6">
        <v>0</v>
      </c>
      <c r="E55" s="6">
        <v>0.15769230769230699</v>
      </c>
    </row>
    <row r="56" spans="1:5" x14ac:dyDescent="0.3">
      <c r="A56" s="1" t="s">
        <v>43</v>
      </c>
      <c r="B56" s="8">
        <v>0.15769230769230699</v>
      </c>
      <c r="C56" s="6">
        <v>0.15769230769230699</v>
      </c>
      <c r="D56" s="6">
        <v>0</v>
      </c>
      <c r="E56" s="6">
        <v>0.15769230769230699</v>
      </c>
    </row>
    <row r="57" spans="1:5" x14ac:dyDescent="0.3">
      <c r="A57" s="1" t="s">
        <v>44</v>
      </c>
      <c r="B57" s="8">
        <v>0.15769230769230699</v>
      </c>
      <c r="C57" s="6">
        <v>0.15769230769230699</v>
      </c>
      <c r="D57" s="6">
        <v>0</v>
      </c>
      <c r="E57" s="6">
        <v>0.15769230769230699</v>
      </c>
    </row>
    <row r="58" spans="1:5" ht="28.8" x14ac:dyDescent="0.3">
      <c r="A58" s="1" t="s">
        <v>45</v>
      </c>
      <c r="B58" s="8">
        <v>0.15769230769230699</v>
      </c>
      <c r="C58" s="6">
        <v>0.15769230769230699</v>
      </c>
      <c r="D58" s="6">
        <v>0</v>
      </c>
      <c r="E58" s="6">
        <v>0.15769230769230699</v>
      </c>
    </row>
    <row r="59" spans="1:5" x14ac:dyDescent="0.3">
      <c r="A59" s="1" t="s">
        <v>11</v>
      </c>
      <c r="B59" s="8">
        <v>0.15769230769230699</v>
      </c>
      <c r="C59" s="6">
        <v>0</v>
      </c>
      <c r="D59" s="6">
        <v>0</v>
      </c>
      <c r="E59" s="6">
        <v>0</v>
      </c>
    </row>
    <row r="60" spans="1:5" ht="28.8" x14ac:dyDescent="0.3">
      <c r="A60" s="1" t="s">
        <v>76</v>
      </c>
      <c r="B60" s="8">
        <v>0.15769230769230699</v>
      </c>
      <c r="C60" s="6">
        <v>0.15769230769230699</v>
      </c>
      <c r="D60" s="6">
        <v>0</v>
      </c>
      <c r="E60" s="6">
        <v>0</v>
      </c>
    </row>
    <row r="61" spans="1:5" x14ac:dyDescent="0.3">
      <c r="A61" s="1" t="s">
        <v>46</v>
      </c>
      <c r="B61" s="8">
        <v>0.15769230769230699</v>
      </c>
      <c r="C61" s="6">
        <v>0.15769230769230699</v>
      </c>
      <c r="D61" s="6">
        <v>0</v>
      </c>
      <c r="E61" s="6">
        <v>0</v>
      </c>
    </row>
    <row r="62" spans="1:5" x14ac:dyDescent="0.3">
      <c r="A62" s="1" t="s">
        <v>47</v>
      </c>
      <c r="B62" s="8">
        <v>0.15769230769230699</v>
      </c>
      <c r="C62" s="6">
        <v>0.15769230769230699</v>
      </c>
      <c r="D62" s="6">
        <v>0</v>
      </c>
      <c r="E62" s="6">
        <v>0</v>
      </c>
    </row>
    <row r="63" spans="1:5" x14ac:dyDescent="0.3">
      <c r="A63" s="1" t="s">
        <v>39</v>
      </c>
      <c r="B63" s="8">
        <v>0.15769230769230699</v>
      </c>
      <c r="C63" s="6">
        <v>0</v>
      </c>
      <c r="D63" s="6">
        <v>0</v>
      </c>
      <c r="E63" s="6">
        <v>0</v>
      </c>
    </row>
    <row r="64" spans="1:5" x14ac:dyDescent="0.3">
      <c r="A64" s="2"/>
      <c r="B64" s="12">
        <f>SUM(B50,B53:B63)</f>
        <v>1.8923076923076843</v>
      </c>
      <c r="C64" s="14">
        <f>SUM(C53:C63,C50)</f>
        <v>1.5374999999999934</v>
      </c>
      <c r="D64" s="14">
        <f>SUM(D53:D63,D50)</f>
        <v>0.47307692307692162</v>
      </c>
      <c r="E64" s="15">
        <f>SUM(E53:E63,E50)</f>
        <v>1.1038461538461497</v>
      </c>
    </row>
    <row r="65" spans="1:26" ht="15.6" x14ac:dyDescent="0.3">
      <c r="A65" s="20" t="s">
        <v>87</v>
      </c>
      <c r="B65" s="21"/>
      <c r="C65" s="22"/>
      <c r="D65" s="22"/>
      <c r="E65" s="22"/>
    </row>
    <row r="66" spans="1:26" x14ac:dyDescent="0.3">
      <c r="A66" s="1" t="s">
        <v>28</v>
      </c>
      <c r="B66" s="8">
        <f>SUM(B67:B68)</f>
        <v>0.1277777777777778</v>
      </c>
      <c r="C66" s="6">
        <f>SUM(C67:C68)</f>
        <v>0.1277777777777778</v>
      </c>
      <c r="D66" s="6">
        <f>SUM(D67:D68)</f>
        <v>0.12</v>
      </c>
      <c r="E66" s="6">
        <f>SUM(E67:E68)</f>
        <v>0.1277777777777778</v>
      </c>
      <c r="Z66" t="s">
        <v>60</v>
      </c>
    </row>
    <row r="67" spans="1:26" x14ac:dyDescent="0.3">
      <c r="A67" s="1" t="s">
        <v>29</v>
      </c>
      <c r="B67" s="8">
        <v>6.3888888888888898E-2</v>
      </c>
      <c r="C67" s="6">
        <v>6.3888888888888898E-2</v>
      </c>
      <c r="D67" s="6">
        <v>0.06</v>
      </c>
      <c r="E67" s="6">
        <v>6.3888888888888898E-2</v>
      </c>
    </row>
    <row r="68" spans="1:26" x14ac:dyDescent="0.3">
      <c r="A68" s="1" t="s">
        <v>30</v>
      </c>
      <c r="B68" s="8">
        <v>6.3888888888888898E-2</v>
      </c>
      <c r="C68" s="6">
        <v>6.3888888888888898E-2</v>
      </c>
      <c r="D68" s="6">
        <v>0.06</v>
      </c>
      <c r="E68" s="6">
        <v>6.3888888888888898E-2</v>
      </c>
    </row>
    <row r="69" spans="1:26" x14ac:dyDescent="0.3">
      <c r="A69" s="1" t="s">
        <v>31</v>
      </c>
      <c r="B69" s="8">
        <v>0.12777777777777699</v>
      </c>
      <c r="C69" s="6">
        <v>0.12777777777777699</v>
      </c>
      <c r="D69" s="6">
        <v>0.13</v>
      </c>
      <c r="E69" s="6">
        <v>0.12777777777777699</v>
      </c>
    </row>
    <row r="70" spans="1:26" x14ac:dyDescent="0.3">
      <c r="A70" s="1" t="s">
        <v>48</v>
      </c>
      <c r="B70" s="8">
        <v>0.12777777777777699</v>
      </c>
      <c r="C70" s="6">
        <v>0.12777777777777699</v>
      </c>
      <c r="D70" s="6">
        <v>0</v>
      </c>
      <c r="E70" s="6">
        <v>0.12777777777777699</v>
      </c>
    </row>
    <row r="71" spans="1:26" x14ac:dyDescent="0.3">
      <c r="A71" s="1" t="s">
        <v>49</v>
      </c>
      <c r="B71" s="8">
        <v>0.12777777777777699</v>
      </c>
      <c r="C71" s="6">
        <v>0.12777777777777699</v>
      </c>
      <c r="D71" s="6">
        <v>0.13</v>
      </c>
      <c r="E71" s="6">
        <v>0.12777777777777699</v>
      </c>
    </row>
    <row r="72" spans="1:26" x14ac:dyDescent="0.3">
      <c r="A72" s="1" t="s">
        <v>50</v>
      </c>
      <c r="B72" s="8">
        <v>0.12777777777777699</v>
      </c>
      <c r="C72" s="6">
        <v>0.12777777777777699</v>
      </c>
      <c r="D72" s="6">
        <v>0</v>
      </c>
      <c r="E72" s="6">
        <v>0.12777777777777699</v>
      </c>
    </row>
    <row r="73" spans="1:26" x14ac:dyDescent="0.3">
      <c r="A73" s="1" t="s">
        <v>51</v>
      </c>
      <c r="B73" s="8">
        <v>0.12777777777777699</v>
      </c>
      <c r="C73" s="6">
        <v>0.12777777777777699</v>
      </c>
      <c r="D73" s="6">
        <v>0</v>
      </c>
      <c r="E73" s="6">
        <v>0.12777777777777699</v>
      </c>
    </row>
    <row r="74" spans="1:26" x14ac:dyDescent="0.3">
      <c r="A74" s="1" t="s">
        <v>52</v>
      </c>
      <c r="B74" s="8">
        <v>0.12777777777777699</v>
      </c>
      <c r="C74" s="6">
        <v>0.12777777777777699</v>
      </c>
      <c r="D74" s="6">
        <v>0</v>
      </c>
      <c r="E74" s="6">
        <v>0.12777777777777699</v>
      </c>
    </row>
    <row r="75" spans="1:26" x14ac:dyDescent="0.3">
      <c r="A75" s="1" t="s">
        <v>53</v>
      </c>
      <c r="B75" s="8">
        <v>0.12777777777777699</v>
      </c>
      <c r="C75" s="6">
        <v>0.12777777777777699</v>
      </c>
      <c r="D75" s="6">
        <v>0</v>
      </c>
      <c r="E75" s="6">
        <v>0.12777777777777699</v>
      </c>
    </row>
    <row r="76" spans="1:26" x14ac:dyDescent="0.3">
      <c r="A76" s="1" t="s">
        <v>54</v>
      </c>
      <c r="B76" s="8">
        <v>0.12777777777777699</v>
      </c>
      <c r="C76" s="6">
        <v>0.12777777777777699</v>
      </c>
      <c r="D76" s="6">
        <v>0</v>
      </c>
      <c r="E76" s="6">
        <v>0.12777777777777699</v>
      </c>
    </row>
    <row r="77" spans="1:26" x14ac:dyDescent="0.3">
      <c r="A77" s="1" t="s">
        <v>55</v>
      </c>
      <c r="B77" s="8">
        <v>0.12777777777777699</v>
      </c>
      <c r="C77" s="6">
        <v>0.12777777777777699</v>
      </c>
      <c r="D77" s="6">
        <v>0</v>
      </c>
      <c r="E77" s="6">
        <v>0.12777777777777699</v>
      </c>
    </row>
    <row r="78" spans="1:26" x14ac:dyDescent="0.3">
      <c r="A78" s="1" t="s">
        <v>56</v>
      </c>
      <c r="B78" s="8">
        <v>0.12777777777777699</v>
      </c>
      <c r="C78" s="6">
        <v>0.12777777777777699</v>
      </c>
      <c r="D78" s="6">
        <v>0</v>
      </c>
      <c r="E78" s="6">
        <v>0.12777777777777699</v>
      </c>
    </row>
    <row r="79" spans="1:26" x14ac:dyDescent="0.3">
      <c r="A79" s="1" t="s">
        <v>57</v>
      </c>
      <c r="B79" s="8">
        <v>0.12777777777777699</v>
      </c>
      <c r="C79" s="6">
        <v>0.12777777777777699</v>
      </c>
      <c r="D79" s="6">
        <v>0</v>
      </c>
      <c r="E79" s="6">
        <v>0.12777777777777699</v>
      </c>
    </row>
    <row r="80" spans="1:26" x14ac:dyDescent="0.3">
      <c r="A80" s="1" t="s">
        <v>11</v>
      </c>
      <c r="B80" s="8">
        <v>0.12777777777777699</v>
      </c>
      <c r="C80" s="6">
        <v>0</v>
      </c>
      <c r="D80" s="6">
        <v>0</v>
      </c>
      <c r="E80" s="6">
        <v>0</v>
      </c>
    </row>
    <row r="81" spans="1:5" x14ac:dyDescent="0.3">
      <c r="A81" s="1" t="s">
        <v>58</v>
      </c>
      <c r="B81" s="8">
        <v>0.12777777777777699</v>
      </c>
      <c r="C81" s="6">
        <v>0.12777777777777699</v>
      </c>
      <c r="D81" s="6">
        <v>0</v>
      </c>
      <c r="E81" s="6">
        <v>0</v>
      </c>
    </row>
    <row r="82" spans="1:5" x14ac:dyDescent="0.3">
      <c r="A82" s="1" t="s">
        <v>59</v>
      </c>
      <c r="B82" s="8">
        <v>0.12777777777777699</v>
      </c>
      <c r="C82" s="6">
        <v>6.3888888888888495E-2</v>
      </c>
      <c r="D82" s="6">
        <v>0</v>
      </c>
      <c r="E82" s="6">
        <v>0</v>
      </c>
    </row>
    <row r="83" spans="1:5" ht="28.8" x14ac:dyDescent="0.3">
      <c r="A83" s="1" t="s">
        <v>77</v>
      </c>
      <c r="B83" s="8">
        <v>0.12777777777777699</v>
      </c>
      <c r="C83" s="6">
        <v>0.12777777777777699</v>
      </c>
      <c r="D83" s="6">
        <v>0</v>
      </c>
      <c r="E83" s="6">
        <v>0</v>
      </c>
    </row>
    <row r="84" spans="1:5" x14ac:dyDescent="0.3">
      <c r="A84" s="1" t="s">
        <v>39</v>
      </c>
      <c r="B84" s="8">
        <v>0.12777777777777699</v>
      </c>
      <c r="C84" s="6">
        <v>0</v>
      </c>
      <c r="D84" s="6">
        <v>0</v>
      </c>
      <c r="E84" s="6">
        <v>0</v>
      </c>
    </row>
    <row r="85" spans="1:5" x14ac:dyDescent="0.3">
      <c r="A85" s="2"/>
      <c r="B85" s="12">
        <f>SUM(B69:B84,B66)</f>
        <v>2.1722222222222087</v>
      </c>
      <c r="C85" s="14">
        <f>SUM(C69:C84,C66)</f>
        <v>1.8527777777777668</v>
      </c>
      <c r="D85" s="16">
        <f>SUM(D69:D84,D66)</f>
        <v>0.38</v>
      </c>
      <c r="E85" s="15">
        <f>SUM(E69:E84,E66)</f>
        <v>1.5333333333333243</v>
      </c>
    </row>
    <row r="86" spans="1:5" ht="15.6" x14ac:dyDescent="0.3">
      <c r="A86" s="20" t="s">
        <v>88</v>
      </c>
      <c r="B86" s="21"/>
      <c r="C86" s="22"/>
      <c r="D86" s="22"/>
      <c r="E86" s="22"/>
    </row>
    <row r="87" spans="1:5" x14ac:dyDescent="0.3">
      <c r="A87" s="1" t="s">
        <v>28</v>
      </c>
      <c r="B87" s="8">
        <f>SUM(B88:B89)</f>
        <v>0.1076923076923076</v>
      </c>
      <c r="C87" s="6">
        <v>0</v>
      </c>
      <c r="D87" s="6">
        <f>SUM(D88:D89)</f>
        <v>0</v>
      </c>
      <c r="E87" s="6">
        <f>SUM(E88:E89)</f>
        <v>0.1076923076923076</v>
      </c>
    </row>
    <row r="88" spans="1:5" x14ac:dyDescent="0.3">
      <c r="A88" s="1" t="s">
        <v>29</v>
      </c>
      <c r="B88" s="8">
        <v>5.3846153846153801E-2</v>
      </c>
      <c r="C88" s="6">
        <v>0</v>
      </c>
      <c r="D88" s="6">
        <v>0</v>
      </c>
      <c r="E88" s="6">
        <v>5.3846153846153801E-2</v>
      </c>
    </row>
    <row r="89" spans="1:5" x14ac:dyDescent="0.3">
      <c r="A89" s="1" t="s">
        <v>30</v>
      </c>
      <c r="B89" s="8">
        <v>5.3846153846153801E-2</v>
      </c>
      <c r="C89" s="6">
        <v>0</v>
      </c>
      <c r="D89" s="6">
        <v>0</v>
      </c>
      <c r="E89" s="6">
        <v>5.3846153846153801E-2</v>
      </c>
    </row>
    <row r="90" spans="1:5" x14ac:dyDescent="0.3">
      <c r="A90" s="1" t="s">
        <v>31</v>
      </c>
      <c r="B90" s="8">
        <v>0.107692307692307</v>
      </c>
      <c r="C90" s="6">
        <v>0</v>
      </c>
      <c r="D90" s="6">
        <v>0</v>
      </c>
      <c r="E90" s="6">
        <v>0.107692307692307</v>
      </c>
    </row>
    <row r="91" spans="1:5" x14ac:dyDescent="0.3">
      <c r="A91" s="1" t="s">
        <v>32</v>
      </c>
      <c r="B91" s="8">
        <v>0.107692307692307</v>
      </c>
      <c r="C91" s="6">
        <v>0</v>
      </c>
      <c r="D91" s="6">
        <v>0</v>
      </c>
      <c r="E91" s="6">
        <v>0.107692307692307</v>
      </c>
    </row>
    <row r="92" spans="1:5" x14ac:dyDescent="0.3">
      <c r="A92" s="1" t="s">
        <v>61</v>
      </c>
      <c r="B92" s="8">
        <v>0.107692307692307</v>
      </c>
      <c r="C92" s="6">
        <v>0</v>
      </c>
      <c r="D92" s="6">
        <v>0</v>
      </c>
      <c r="E92" s="6">
        <v>0.107692307692307</v>
      </c>
    </row>
    <row r="93" spans="1:5" x14ac:dyDescent="0.3">
      <c r="A93" s="1" t="s">
        <v>62</v>
      </c>
      <c r="B93" s="8">
        <v>0.107692307692307</v>
      </c>
      <c r="C93" s="6">
        <v>0</v>
      </c>
      <c r="D93" s="6">
        <v>0</v>
      </c>
      <c r="E93" s="6">
        <v>0.107692307692307</v>
      </c>
    </row>
    <row r="94" spans="1:5" x14ac:dyDescent="0.3">
      <c r="A94" s="1" t="s">
        <v>63</v>
      </c>
      <c r="B94" s="8">
        <v>0.107692307692307</v>
      </c>
      <c r="C94" s="6">
        <v>0</v>
      </c>
      <c r="D94" s="6">
        <v>0</v>
      </c>
      <c r="E94" s="6">
        <v>5.9829059829059001E-3</v>
      </c>
    </row>
    <row r="95" spans="1:5" x14ac:dyDescent="0.3">
      <c r="A95" s="1" t="s">
        <v>11</v>
      </c>
      <c r="B95" s="8">
        <v>0.107692307692307</v>
      </c>
      <c r="C95" s="6">
        <v>0</v>
      </c>
      <c r="D95" s="6">
        <v>0</v>
      </c>
      <c r="E95" s="6">
        <v>0</v>
      </c>
    </row>
    <row r="96" spans="1:5" ht="28.8" x14ac:dyDescent="0.3">
      <c r="A96" s="1" t="s">
        <v>64</v>
      </c>
      <c r="B96" s="8">
        <v>0.107692307692307</v>
      </c>
      <c r="C96" s="6">
        <v>0</v>
      </c>
      <c r="D96" s="6">
        <v>0</v>
      </c>
      <c r="E96" s="6">
        <v>0</v>
      </c>
    </row>
    <row r="97" spans="1:9" x14ac:dyDescent="0.3">
      <c r="A97" s="1" t="s">
        <v>65</v>
      </c>
      <c r="B97" s="8">
        <v>0.107692307692307</v>
      </c>
      <c r="C97" s="6">
        <v>0</v>
      </c>
      <c r="D97" s="6">
        <v>0</v>
      </c>
      <c r="E97" s="6">
        <v>0</v>
      </c>
    </row>
    <row r="98" spans="1:9" ht="57.6" x14ac:dyDescent="0.3">
      <c r="A98" s="1" t="s">
        <v>78</v>
      </c>
      <c r="B98" s="8">
        <v>0.107692307692307</v>
      </c>
      <c r="C98" s="6">
        <v>0</v>
      </c>
      <c r="D98" s="6">
        <v>0</v>
      </c>
      <c r="E98" s="6">
        <v>0</v>
      </c>
    </row>
    <row r="99" spans="1:9" x14ac:dyDescent="0.3">
      <c r="A99" s="1" t="s">
        <v>66</v>
      </c>
      <c r="B99" s="8">
        <v>0.107692307692307</v>
      </c>
      <c r="C99" s="6">
        <v>0</v>
      </c>
      <c r="D99" s="6">
        <v>0</v>
      </c>
      <c r="E99" s="6">
        <v>0</v>
      </c>
    </row>
    <row r="100" spans="1:9" x14ac:dyDescent="0.3">
      <c r="A100" s="2"/>
      <c r="B100" s="12">
        <f>SUM(B90:B99,B87)</f>
        <v>1.1846153846153775</v>
      </c>
      <c r="C100" s="14">
        <f>SUM(C87,C90:C99)</f>
        <v>0</v>
      </c>
      <c r="D100" s="14">
        <f>SUM(D87,D90:D99)</f>
        <v>0</v>
      </c>
      <c r="E100" s="15">
        <f>SUM(E90:E99,E87)</f>
        <v>0.54444444444444151</v>
      </c>
    </row>
    <row r="101" spans="1:9" ht="28.8" x14ac:dyDescent="0.3">
      <c r="A101" s="1" t="s">
        <v>67</v>
      </c>
      <c r="B101" s="8">
        <v>0.46250000000000002</v>
      </c>
      <c r="C101" s="6">
        <v>0.28152173913043399</v>
      </c>
      <c r="D101" s="6">
        <v>0.25</v>
      </c>
      <c r="E101" s="6">
        <v>0.32173913043478197</v>
      </c>
    </row>
    <row r="102" spans="1:9" ht="28.8" x14ac:dyDescent="0.3">
      <c r="A102" s="1" t="s">
        <v>68</v>
      </c>
      <c r="B102" s="8">
        <v>0.46250000000000002</v>
      </c>
      <c r="C102" s="6">
        <v>0.46250000000000002</v>
      </c>
      <c r="D102" s="6">
        <v>0.46250000000000002</v>
      </c>
      <c r="E102" s="6">
        <v>0.46250000000000002</v>
      </c>
    </row>
    <row r="103" spans="1:9" ht="28.8" x14ac:dyDescent="0.3">
      <c r="A103" s="1" t="s">
        <v>69</v>
      </c>
      <c r="B103" s="8">
        <v>0.46250000000000002</v>
      </c>
      <c r="C103" s="6">
        <v>0.46250000000000002</v>
      </c>
      <c r="D103" s="6">
        <v>0.46250000000000002</v>
      </c>
      <c r="E103" s="6">
        <v>0</v>
      </c>
    </row>
    <row r="104" spans="1:9" x14ac:dyDescent="0.3">
      <c r="A104" s="1" t="s">
        <v>70</v>
      </c>
      <c r="B104" s="8">
        <v>0.46250000000000002</v>
      </c>
      <c r="C104" s="6">
        <v>0.32</v>
      </c>
      <c r="D104" s="6">
        <v>0.32</v>
      </c>
      <c r="E104" s="6">
        <v>0.34687499999999999</v>
      </c>
    </row>
    <row r="105" spans="1:9" x14ac:dyDescent="0.3">
      <c r="A105" s="2"/>
      <c r="B105" s="13">
        <f>SUM(B101:B104)</f>
        <v>1.85</v>
      </c>
      <c r="C105" s="14">
        <f>SUM(C101:C104)</f>
        <v>1.5265217391304342</v>
      </c>
      <c r="D105" s="14">
        <f>SUM(D101:D104)</f>
        <v>1.4950000000000001</v>
      </c>
      <c r="E105" s="15">
        <f>SUM(E101:E104)</f>
        <v>1.131114130434782</v>
      </c>
    </row>
    <row r="106" spans="1:9" x14ac:dyDescent="0.3">
      <c r="A106" s="1" t="s">
        <v>71</v>
      </c>
      <c r="B106" s="8">
        <v>0.5</v>
      </c>
      <c r="C106" s="6">
        <v>0.45</v>
      </c>
      <c r="D106" s="6">
        <v>0.35</v>
      </c>
      <c r="E106" s="6">
        <v>0.5</v>
      </c>
    </row>
    <row r="107" spans="1:9" x14ac:dyDescent="0.3">
      <c r="A107" s="1" t="s">
        <v>72</v>
      </c>
      <c r="B107" s="8">
        <v>0.5</v>
      </c>
      <c r="C107" s="6">
        <v>0.3</v>
      </c>
      <c r="D107" s="6">
        <v>0.3</v>
      </c>
      <c r="E107" s="6">
        <v>0.5</v>
      </c>
    </row>
    <row r="108" spans="1:9" x14ac:dyDescent="0.3">
      <c r="A108" s="1" t="s">
        <v>73</v>
      </c>
      <c r="B108" s="8">
        <v>0.5</v>
      </c>
      <c r="C108" s="6">
        <v>0</v>
      </c>
      <c r="D108" s="6">
        <v>0</v>
      </c>
      <c r="E108" s="6">
        <v>0</v>
      </c>
    </row>
    <row r="109" spans="1:9" x14ac:dyDescent="0.3">
      <c r="A109" s="1" t="s">
        <v>74</v>
      </c>
      <c r="B109" s="8">
        <v>0.5</v>
      </c>
      <c r="C109" s="6">
        <v>0.25</v>
      </c>
      <c r="D109" s="6">
        <v>0</v>
      </c>
      <c r="E109" s="6">
        <v>0.25</v>
      </c>
      <c r="G109" s="6"/>
      <c r="H109" s="6"/>
      <c r="I109" s="6"/>
    </row>
    <row r="110" spans="1:9" x14ac:dyDescent="0.3">
      <c r="A110" s="2"/>
      <c r="B110" s="12">
        <f>SUM(B106:B109)</f>
        <v>2</v>
      </c>
      <c r="C110" s="14">
        <f>SUM(C106:C109)</f>
        <v>1</v>
      </c>
      <c r="D110" s="14">
        <f>SUM(D106:D109)</f>
        <v>0.64999999999999991</v>
      </c>
      <c r="E110" s="15">
        <f>SUM(E106:E109)</f>
        <v>1.25</v>
      </c>
    </row>
    <row r="111" spans="1:9" x14ac:dyDescent="0.3">
      <c r="B111" s="5" t="s">
        <v>79</v>
      </c>
      <c r="C111" s="5"/>
      <c r="D111" s="5"/>
      <c r="E111" s="5"/>
    </row>
    <row r="112" spans="1:9" x14ac:dyDescent="0.3">
      <c r="B112" s="8">
        <f>SUM(B110,B105,B100,B85,B64,B48,B32,B21,B8)</f>
        <v>14.299145299145259</v>
      </c>
      <c r="C112" s="6">
        <f>SUM(C110,C105,C100,C85,C64,C48,C32,C21,C8)</f>
        <v>9.06730456741324</v>
      </c>
      <c r="D112" s="6">
        <f>SUM(D110,D105,D100,D85,D64,D48,D32,D21,D8)</f>
        <v>4.7675718725718665</v>
      </c>
      <c r="E112" s="6">
        <f>SUM(E110,E105,E100,E85,E64,E48,E21,E8,E32)</f>
        <v>8.7331421024627343</v>
      </c>
    </row>
  </sheetData>
  <mergeCells count="1">
    <mergeCell ref="B111:E111"/>
  </mergeCells>
  <phoneticPr fontId="2"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Wellington Fabio de Oliveira Martins</dc:creator>
  <cp:lastModifiedBy>Wellington Fabio de Oliveira Martins</cp:lastModifiedBy>
  <dcterms:created xsi:type="dcterms:W3CDTF">2026-04-14T16:48:36Z</dcterms:created>
  <dcterms:modified xsi:type="dcterms:W3CDTF">2026-05-04T20:43:53Z</dcterms:modified>
</cp:coreProperties>
</file>