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5560"/>
  </bookViews>
  <sheets>
    <sheet name="CIS Marking Scheme Import" sheetId="1" r:id="rId1"/>
    <sheet name="Calculation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<sst xmlns="http://schemas.openxmlformats.org/spreadsheetml/2006/main" count="642" uniqueCount="330">
  <si>
    <t>Skill Name</t>
  </si>
  <si>
    <t>WorldSkills Standards Specification</t>
  </si>
  <si>
    <t>Section</t>
  </si>
  <si>
    <t>WSSS Marks</t>
  </si>
  <si>
    <t>Aspect Marks</t>
  </si>
  <si>
    <t>Variation</t>
  </si>
  <si>
    <t>Work organization and management</t>
  </si>
  <si>
    <t>Business, communication, and interpersonal skills for clients and project fulfilment</t>
  </si>
  <si>
    <t>Sustainable Practice</t>
  </si>
  <si>
    <t>Initial planning, design, and test framework</t>
  </si>
  <si>
    <t>Systems architecture planning</t>
  </si>
  <si>
    <t>Implementation and product development</t>
  </si>
  <si>
    <t>Final product tests, troubleshooting, and optimization</t>
  </si>
  <si>
    <t>Total Variation</t>
  </si>
  <si>
    <t>Criteria</t>
  </si>
  <si>
    <t>ID</t>
  </si>
  <si>
    <t>Name</t>
  </si>
  <si>
    <t>Mark</t>
  </si>
  <si>
    <t>A</t>
  </si>
  <si>
    <t>Module A</t>
  </si>
  <si>
    <t>B</t>
  </si>
  <si>
    <t xml:space="preserve">Module B </t>
  </si>
  <si>
    <t>C</t>
  </si>
  <si>
    <t>Module C</t>
  </si>
  <si>
    <t>D</t>
  </si>
  <si>
    <t>Module D</t>
  </si>
  <si>
    <t>E</t>
  </si>
  <si>
    <t>F</t>
  </si>
  <si>
    <t>G</t>
  </si>
  <si>
    <t>H</t>
  </si>
  <si>
    <t>I</t>
  </si>
  <si>
    <t>Sub
Criterion
ID</t>
  </si>
  <si>
    <t>Sub Criterion
Name or Description</t>
  </si>
  <si>
    <t>Day of Marking</t>
  </si>
  <si>
    <t>Aspect
Type
M = Meas
J = Judg</t>
  </si>
  <si>
    <t>Aspect - Description</t>
  </si>
  <si>
    <t>Judg Score</t>
  </si>
  <si>
    <t>Extra Aspect Description (Meas or Judg)
OR
Judgement Score Description (Judg only)</t>
  </si>
  <si>
    <t>Requirement
(Measurement Only)</t>
  </si>
  <si>
    <t>WSSS Section</t>
  </si>
  <si>
    <t>Calculation Row 
(Export only)</t>
  </si>
  <si>
    <t>Max
Mark</t>
  </si>
  <si>
    <t>Criterion A</t>
  </si>
  <si>
    <t>Total
Mark</t>
  </si>
  <si>
    <t>A1</t>
  </si>
  <si>
    <t>Splash Screen</t>
  </si>
  <si>
    <t>Any</t>
  </si>
  <si>
    <t>M</t>
  </si>
  <si>
    <t>All page elements are complete.</t>
  </si>
  <si>
    <t>0.1 point will be deducted for each error.</t>
  </si>
  <si>
    <t>When the app is opened, the splash page is displayed</t>
  </si>
  <si>
    <t>The circular progress bar continues rotating for three seconds</t>
  </si>
  <si>
    <t>After waiting for three seconds, the app automatically jumps to the onboarding page</t>
  </si>
  <si>
    <t>A2</t>
  </si>
  <si>
    <t>Onboarding Page</t>
  </si>
  <si>
    <t>The onboarding flow consists of three pages</t>
  </si>
  <si>
    <r>
      <rPr>
        <sz val="10"/>
        <rFont val="Arial Regular"/>
        <charset val="134"/>
      </rPr>
      <t xml:space="preserve">Tapping the </t>
    </r>
    <r>
      <rPr>
        <sz val="10"/>
        <rFont val="宋体-简"/>
        <charset val="134"/>
      </rPr>
      <t>【</t>
    </r>
    <r>
      <rPr>
        <sz val="10"/>
        <rFont val="Arial Regular"/>
        <charset val="134"/>
      </rPr>
      <t>Continue</t>
    </r>
    <r>
      <rPr>
        <sz val="10"/>
        <rFont val="宋体-简"/>
        <charset val="134"/>
      </rPr>
      <t>】</t>
    </r>
    <r>
      <rPr>
        <sz val="10"/>
        <rFont val="Arial Regular"/>
        <charset val="134"/>
      </rPr>
      <t xml:space="preserve"> button navigates to the next page; tapping the </t>
    </r>
    <r>
      <rPr>
        <sz val="10"/>
        <rFont val="宋体-简"/>
        <charset val="134"/>
      </rPr>
      <t>【</t>
    </r>
    <r>
      <rPr>
        <sz val="10"/>
        <rFont val="Arial Regular"/>
        <charset val="134"/>
      </rPr>
      <t>Skip</t>
    </r>
    <r>
      <rPr>
        <sz val="10"/>
        <rFont val="宋体-简"/>
        <charset val="134"/>
      </rPr>
      <t>】</t>
    </r>
    <r>
      <rPr>
        <sz val="10"/>
        <rFont val="Arial Regular"/>
        <charset val="134"/>
      </rPr>
      <t xml:space="preserve"> button jumps to the third page</t>
    </r>
  </si>
  <si>
    <r>
      <rPr>
        <sz val="10"/>
        <rFont val="Arial Regular"/>
        <charset val="134"/>
      </rPr>
      <t xml:space="preserve">On the third page, tapping </t>
    </r>
    <r>
      <rPr>
        <sz val="10"/>
        <rFont val="宋体-简"/>
        <charset val="134"/>
      </rPr>
      <t>【</t>
    </r>
    <r>
      <rPr>
        <sz val="10"/>
        <rFont val="Arial Regular"/>
        <charset val="134"/>
      </rPr>
      <t>Sign In</t>
    </r>
    <r>
      <rPr>
        <sz val="10"/>
        <rFont val="宋体-简"/>
        <charset val="134"/>
      </rPr>
      <t>】</t>
    </r>
    <r>
      <rPr>
        <sz val="10"/>
        <rFont val="Arial Regular"/>
        <charset val="134"/>
      </rPr>
      <t xml:space="preserve"> jumps to the login page; tapping </t>
    </r>
    <r>
      <rPr>
        <sz val="10"/>
        <rFont val="宋体-简"/>
        <charset val="134"/>
      </rPr>
      <t>【</t>
    </r>
    <r>
      <rPr>
        <sz val="10"/>
        <rFont val="Arial Regular"/>
        <charset val="134"/>
      </rPr>
      <t>Sign Up</t>
    </r>
    <r>
      <rPr>
        <sz val="10"/>
        <rFont val="宋体-简"/>
        <charset val="134"/>
      </rPr>
      <t>】</t>
    </r>
    <r>
      <rPr>
        <sz val="10"/>
        <rFont val="Arial Regular"/>
        <charset val="134"/>
      </rPr>
      <t xml:space="preserve"> jumps to the registration page</t>
    </r>
  </si>
  <si>
    <t>All three pages have page indicator dots; the selected page is indicated by a capsule-shaped dot, while unselected pages are indicated by round dots</t>
  </si>
  <si>
    <t>Users can swipe left or right to switch between the three pages</t>
  </si>
  <si>
    <t>A3</t>
  </si>
  <si>
    <t>Sign In Page</t>
  </si>
  <si>
    <t>The email and password can only be entered in a single line; line breaks are not allowed</t>
  </si>
  <si>
    <r>
      <rPr>
        <sz val="10"/>
        <rFont val="Arial Regular"/>
        <charset val="134"/>
      </rPr>
      <t xml:space="preserve">The password is hidden (obscured) by default; tapping the </t>
    </r>
    <r>
      <rPr>
        <sz val="10"/>
        <rFont val="宋体-简"/>
        <charset val="134"/>
      </rPr>
      <t>【</t>
    </r>
    <r>
      <rPr>
        <sz val="10"/>
        <rFont val="Arial Regular"/>
        <charset val="134"/>
      </rPr>
      <t>Show/Hide Password</t>
    </r>
    <r>
      <rPr>
        <sz val="10"/>
        <rFont val="宋体-简"/>
        <charset val="134"/>
      </rPr>
      <t>】</t>
    </r>
    <r>
      <rPr>
        <sz val="10"/>
        <rFont val="Arial Regular"/>
        <charset val="134"/>
      </rPr>
      <t xml:space="preserve"> button toggles its visibility</t>
    </r>
  </si>
  <si>
    <r>
      <rPr>
        <sz val="10"/>
        <rFont val="Arial Regular"/>
        <charset val="134"/>
      </rPr>
      <t xml:space="preserve">Tapping </t>
    </r>
    <r>
      <rPr>
        <sz val="10"/>
        <rFont val="宋体-简"/>
        <charset val="134"/>
      </rPr>
      <t>【</t>
    </r>
    <r>
      <rPr>
        <sz val="10"/>
        <rFont val="Arial Regular"/>
        <charset val="134"/>
      </rPr>
      <t>Don’t have an account? Sign up</t>
    </r>
    <r>
      <rPr>
        <sz val="10"/>
        <rFont val="宋体-简"/>
        <charset val="134"/>
      </rPr>
      <t>】</t>
    </r>
    <r>
      <rPr>
        <sz val="10"/>
        <rFont val="Arial Regular"/>
        <charset val="134"/>
      </rPr>
      <t xml:space="preserve"> navigates to the registration page</t>
    </r>
  </si>
  <si>
    <r>
      <rPr>
        <sz val="10"/>
        <rFont val="Arial Regular"/>
        <charset val="134"/>
      </rPr>
      <t xml:space="preserve">If the email or password field is empty when </t>
    </r>
    <r>
      <rPr>
        <sz val="10"/>
        <rFont val="宋体-简"/>
        <charset val="134"/>
      </rPr>
      <t>【</t>
    </r>
    <r>
      <rPr>
        <sz val="10"/>
        <rFont val="Arial Regular"/>
        <charset val="134"/>
      </rPr>
      <t>Sign In</t>
    </r>
    <r>
      <rPr>
        <sz val="10"/>
        <rFont val="宋体-简"/>
        <charset val="134"/>
      </rPr>
      <t>】</t>
    </r>
    <r>
      <rPr>
        <sz val="10"/>
        <rFont val="Arial Regular"/>
        <charset val="134"/>
      </rPr>
      <t xml:space="preserve"> is tapped, display the prompt: </t>
    </r>
    <r>
      <rPr>
        <sz val="10"/>
        <rFont val="宋体-简"/>
        <charset val="134"/>
      </rPr>
      <t>【</t>
    </r>
    <r>
      <rPr>
        <sz val="10"/>
        <rFont val="Arial Regular"/>
        <charset val="134"/>
      </rPr>
      <t>Incorrect email or password</t>
    </r>
    <r>
      <rPr>
        <sz val="10"/>
        <rFont val="宋体-简"/>
        <charset val="134"/>
      </rPr>
      <t>】</t>
    </r>
  </si>
  <si>
    <r>
      <rPr>
        <sz val="10"/>
        <rFont val="Arial Regular"/>
        <charset val="134"/>
      </rPr>
      <t xml:space="preserve">If both the email and password fields are filled when </t>
    </r>
    <r>
      <rPr>
        <sz val="10"/>
        <rFont val="宋体-简"/>
        <charset val="134"/>
      </rPr>
      <t>【</t>
    </r>
    <r>
      <rPr>
        <sz val="10"/>
        <rFont val="Arial Regular"/>
        <charset val="134"/>
      </rPr>
      <t>Sign In</t>
    </r>
    <r>
      <rPr>
        <sz val="10"/>
        <rFont val="宋体-简"/>
        <charset val="134"/>
      </rPr>
      <t>】</t>
    </r>
    <r>
      <rPr>
        <sz val="10"/>
        <rFont val="Arial Regular"/>
        <charset val="134"/>
      </rPr>
      <t xml:space="preserve"> is tapped, the button text is replaced with a rotating circular progress bar (rotates continuously for three seconds). After three seconds, the app automatically jumps to the home page</t>
    </r>
  </si>
  <si>
    <t>A4</t>
  </si>
  <si>
    <t>Sign Up Page</t>
  </si>
  <si>
    <t>Tapping the sign-up button displays a progress dialog. After three seconds, the app automatically navigates to the home page</t>
  </si>
  <si>
    <t>A5</t>
  </si>
  <si>
    <t>Home Page</t>
  </si>
  <si>
    <r>
      <rPr>
        <sz val="10"/>
        <color rgb="FF000000"/>
        <rFont val="Arial Regular"/>
        <charset val="0"/>
      </rPr>
      <t xml:space="preserve">Tapping the </t>
    </r>
    <r>
      <rPr>
        <sz val="10"/>
        <color rgb="FF000000"/>
        <rFont val="Songti SC"/>
        <charset val="0"/>
      </rPr>
      <t>【</t>
    </r>
    <r>
      <rPr>
        <sz val="10"/>
        <color rgb="FF000000"/>
        <rFont val="Arial Regular"/>
        <charset val="0"/>
      </rPr>
      <t>Add Credit Card</t>
    </r>
    <r>
      <rPr>
        <sz val="10"/>
        <color rgb="FF000000"/>
        <rFont val="Songti SC"/>
        <charset val="0"/>
      </rPr>
      <t>】</t>
    </r>
    <r>
      <rPr>
        <sz val="10"/>
        <color rgb="FF000000"/>
        <rFont val="Arial Regular"/>
        <charset val="0"/>
      </rPr>
      <t xml:space="preserve"> button navigates to the card wallet page</t>
    </r>
  </si>
  <si>
    <t>The credit card information is sourced from transaction_history.json</t>
  </si>
  <si>
    <t>Quick access list</t>
  </si>
  <si>
    <t>0.2 point will be deducted for each error.
a)Includes a title and a list of user items;
b)At least 5 users are displayed horizontally; the list can be scrolled left and right;
c)Each user item shows an avatar and username;
d) Long-pressing a user's avatar displays a trash can icon;
e)Tapping the trash can icon deletes that user;
f)Data is sourced from quick.json;</t>
  </si>
  <si>
    <t>The recent three-day income/expense records display at least 10 entries. Each entry shows a title, icon/image, date, and amount</t>
  </si>
  <si>
    <t>The bottom navigation bar</t>
  </si>
  <si>
    <r>
      <rPr>
        <sz val="10"/>
        <rFont val="Arial Regular"/>
        <charset val="134"/>
      </rPr>
      <t xml:space="preserve">0.3 point will be deducted for each error.
a)The </t>
    </r>
    <r>
      <rPr>
        <sz val="10"/>
        <rFont val="宋体-简"/>
        <charset val="134"/>
      </rPr>
      <t>【</t>
    </r>
    <r>
      <rPr>
        <sz val="10"/>
        <rFont val="Arial Regular"/>
        <charset val="134"/>
      </rPr>
      <t>Home</t>
    </r>
    <r>
      <rPr>
        <sz val="10"/>
        <rFont val="宋体-简"/>
        <charset val="134"/>
      </rPr>
      <t>】</t>
    </r>
    <r>
      <rPr>
        <sz val="10"/>
        <rFont val="Arial Regular"/>
        <charset val="134"/>
      </rPr>
      <t xml:space="preserve"> tab is selected by default; tapping it navigates to the home page;
b)Tapping the </t>
    </r>
    <r>
      <rPr>
        <sz val="10"/>
        <rFont val="宋体-简"/>
        <charset val="134"/>
      </rPr>
      <t>【</t>
    </r>
    <r>
      <rPr>
        <sz val="10"/>
        <rFont val="Arial Regular"/>
        <charset val="134"/>
      </rPr>
      <t>Plus</t>
    </r>
    <r>
      <rPr>
        <sz val="10"/>
        <rFont val="宋体-简"/>
        <charset val="134"/>
      </rPr>
      <t>】</t>
    </r>
    <r>
      <rPr>
        <sz val="10"/>
        <rFont val="Arial Regular"/>
        <charset val="134"/>
      </rPr>
      <t xml:space="preserve"> button navigates to the transfer page;
c)Tapping the </t>
    </r>
    <r>
      <rPr>
        <sz val="10"/>
        <rFont val="宋体-简"/>
        <charset val="134"/>
      </rPr>
      <t>【</t>
    </r>
    <r>
      <rPr>
        <sz val="10"/>
        <rFont val="Arial Regular"/>
        <charset val="134"/>
      </rPr>
      <t>Notifications</t>
    </r>
    <r>
      <rPr>
        <sz val="10"/>
        <rFont val="宋体-简"/>
        <charset val="134"/>
      </rPr>
      <t>】</t>
    </r>
    <r>
      <rPr>
        <sz val="10"/>
        <rFont val="Arial Regular"/>
        <charset val="134"/>
      </rPr>
      <t xml:space="preserve"> button navigates to the notifications page;
d)Tapping the </t>
    </r>
    <r>
      <rPr>
        <sz val="10"/>
        <rFont val="宋体-简"/>
        <charset val="134"/>
      </rPr>
      <t>【</t>
    </r>
    <r>
      <rPr>
        <sz val="10"/>
        <rFont val="Arial Regular"/>
        <charset val="134"/>
      </rPr>
      <t>Profile</t>
    </r>
    <r>
      <rPr>
        <sz val="10"/>
        <rFont val="宋体-简"/>
        <charset val="134"/>
      </rPr>
      <t>】</t>
    </r>
    <r>
      <rPr>
        <sz val="10"/>
        <rFont val="Arial Regular"/>
        <charset val="134"/>
      </rPr>
      <t xml:space="preserve"> button navigates to the profile page.</t>
    </r>
  </si>
  <si>
    <t>A6</t>
  </si>
  <si>
    <t>Card Wallet Page</t>
  </si>
  <si>
    <t>Card carouse</t>
  </si>
  <si>
    <t>0.3 point will be deducted for each error.
a)At least 3 cards are displayed;
b)Users can swipe left/right to switch between cards;
c) The carousel indicator dots update in sync with the active card;</t>
  </si>
  <si>
    <t>Card transaction records</t>
  </si>
  <si>
    <t>0.3 point will be deducted for each error.
a)Each card has its corresponding list of transaction data;
b)Data is sourced from transaction_history.json;
c)At least 5 records are displayed per card;</t>
  </si>
  <si>
    <r>
      <rPr>
        <sz val="10"/>
        <rFont val="Arial Regular"/>
        <charset val="134"/>
      </rPr>
      <t xml:space="preserve">Tapping on a credit card opens a bottom sheet dialog displaying </t>
    </r>
    <r>
      <rPr>
        <sz val="10"/>
        <rFont val="宋体-简"/>
        <charset val="134"/>
      </rPr>
      <t>【</t>
    </r>
    <r>
      <rPr>
        <sz val="10"/>
        <rFont val="Arial Regular"/>
        <charset val="134"/>
      </rPr>
      <t>Delete</t>
    </r>
    <r>
      <rPr>
        <sz val="10"/>
        <rFont val="宋体-简"/>
        <charset val="134"/>
      </rPr>
      <t>】</t>
    </r>
    <r>
      <rPr>
        <sz val="10"/>
        <rFont val="Arial Regular"/>
        <charset val="134"/>
      </rPr>
      <t xml:space="preserve"> and </t>
    </r>
    <r>
      <rPr>
        <sz val="10"/>
        <rFont val="宋体-简"/>
        <charset val="134"/>
      </rPr>
      <t>【</t>
    </r>
    <r>
      <rPr>
        <sz val="10"/>
        <rFont val="Arial Regular"/>
        <charset val="134"/>
      </rPr>
      <t>Edit</t>
    </r>
    <r>
      <rPr>
        <sz val="10"/>
        <rFont val="宋体-简"/>
        <charset val="134"/>
      </rPr>
      <t>】</t>
    </r>
    <r>
      <rPr>
        <sz val="10"/>
        <rFont val="Arial Regular"/>
        <charset val="134"/>
      </rPr>
      <t xml:space="preserve"> options.</t>
    </r>
  </si>
  <si>
    <t>A7</t>
  </si>
  <si>
    <t>Transfer Page</t>
  </si>
  <si>
    <r>
      <rPr>
        <sz val="10"/>
        <color rgb="FF000000"/>
        <rFont val="Arial Regular"/>
        <charset val="0"/>
      </rPr>
      <t xml:space="preserve">Access this page by tapping the </t>
    </r>
    <r>
      <rPr>
        <sz val="10"/>
        <color rgb="FF000000"/>
        <rFont val="Songti SC"/>
        <charset val="0"/>
      </rPr>
      <t>【</t>
    </r>
    <r>
      <rPr>
        <sz val="10"/>
        <color rgb="FF000000"/>
        <rFont val="Arial Regular"/>
        <charset val="0"/>
      </rPr>
      <t>Plus</t>
    </r>
    <r>
      <rPr>
        <sz val="10"/>
        <color rgb="FF000000"/>
        <rFont val="Songti SC"/>
        <charset val="0"/>
      </rPr>
      <t>】</t>
    </r>
    <r>
      <rPr>
        <sz val="10"/>
        <color rgb="FF000000"/>
        <rFont val="Arial Regular"/>
        <charset val="0"/>
      </rPr>
      <t xml:space="preserve"> button in the bottom navigation bar</t>
    </r>
  </si>
  <si>
    <t>Quick Access bar</t>
  </si>
  <si>
    <t>0.3 point will be deducted for each error.
a)Supports horizontal swiping left/right;
b)Displays at least 5 entries;
c)Each entry shows an avatar and name;</t>
  </si>
  <si>
    <t>All Users bar</t>
  </si>
  <si>
    <t>0.3 point will be deducted for each error.
a)Supports vertical scrolling;
b)Displays at least 10 users;
c)Each user entry displays an avatar, name, and phone number;
d)Data is sourced from user_directory.json;</t>
  </si>
  <si>
    <t>Select a user, then tap the Continue button to navigate to the payment page</t>
  </si>
  <si>
    <t>Payment page includes</t>
  </si>
  <si>
    <t>0.3 point will be deducted for each error.
a)The selected user's avatar;
b)Back button;
c)Numeric keypad with buttons 1-9;
d)Delete button;
e)Continue button;</t>
  </si>
  <si>
    <t>Enter the amount using the numeric keypad, then tap Continue to display the password dialog;</t>
  </si>
  <si>
    <t>Tap "Transfer Now" to display the transfer success dialog</t>
  </si>
  <si>
    <r>
      <rPr>
        <sz val="10"/>
        <color rgb="FF000000"/>
        <rFont val="Arial Regular"/>
        <charset val="0"/>
      </rPr>
      <t xml:space="preserve">Tap </t>
    </r>
    <r>
      <rPr>
        <sz val="10"/>
        <color rgb="FF000000"/>
        <rFont val="Songti SC"/>
        <charset val="0"/>
      </rPr>
      <t>【</t>
    </r>
    <r>
      <rPr>
        <sz val="10"/>
        <color rgb="FF000000"/>
        <rFont val="Arial Regular"/>
        <charset val="0"/>
      </rPr>
      <t>Back to Home</t>
    </r>
    <r>
      <rPr>
        <sz val="10"/>
        <color rgb="FF000000"/>
        <rFont val="Songti SC"/>
        <charset val="0"/>
      </rPr>
      <t>】</t>
    </r>
    <r>
      <rPr>
        <sz val="10"/>
        <color rgb="FF000000"/>
        <rFont val="Arial Regular"/>
        <charset val="0"/>
      </rPr>
      <t xml:space="preserve"> to return to the home page</t>
    </r>
  </si>
  <si>
    <t>A8</t>
  </si>
  <si>
    <t>Notifications Page</t>
  </si>
  <si>
    <r>
      <rPr>
        <sz val="10"/>
        <color rgb="FF000000"/>
        <rFont val="Arial Regular"/>
        <charset val="0"/>
      </rPr>
      <t xml:space="preserve">Access this page by tapping the </t>
    </r>
    <r>
      <rPr>
        <sz val="10"/>
        <color rgb="FF000000"/>
        <rFont val="Songti SC"/>
        <charset val="0"/>
      </rPr>
      <t>【</t>
    </r>
    <r>
      <rPr>
        <sz val="10"/>
        <color rgb="FF000000"/>
        <rFont val="Arial Regular"/>
        <charset val="0"/>
      </rPr>
      <t>Notifications</t>
    </r>
    <r>
      <rPr>
        <sz val="10"/>
        <color rgb="FF000000"/>
        <rFont val="Songti SC"/>
        <charset val="0"/>
      </rPr>
      <t>】</t>
    </r>
    <r>
      <rPr>
        <sz val="10"/>
        <color rgb="FF000000"/>
        <rFont val="Arial Regular"/>
        <charset val="0"/>
      </rPr>
      <t xml:space="preserve"> button in the bottom navigation bar</t>
    </r>
  </si>
  <si>
    <t>Notification records</t>
  </si>
  <si>
    <t>0.3 point will be deducted for each error.
a)Display income notifications;
b)Display expense notifications;
c)Each notification entry includes an avatar, title, and date;
d)Data is sourced from notifications.json;</t>
  </si>
  <si>
    <t>Notifications are categorized into "This Week" and "This Month"</t>
  </si>
  <si>
    <t>At least 5 notifications are displayed under "This Week", and at least 8 under "This Month".</t>
  </si>
  <si>
    <t>A9</t>
  </si>
  <si>
    <t>Profile Page</t>
  </si>
  <si>
    <r>
      <rPr>
        <sz val="10"/>
        <rFont val="Arial Regular"/>
        <charset val="134"/>
      </rPr>
      <t xml:space="preserve">Access this page by tapping the </t>
    </r>
    <r>
      <rPr>
        <sz val="10"/>
        <rFont val="宋体-简"/>
        <charset val="134"/>
      </rPr>
      <t>【</t>
    </r>
    <r>
      <rPr>
        <sz val="10"/>
        <rFont val="Arial Regular"/>
        <charset val="134"/>
      </rPr>
      <t>Profile</t>
    </r>
    <r>
      <rPr>
        <sz val="10"/>
        <rFont val="宋体-简"/>
        <charset val="134"/>
      </rPr>
      <t>】</t>
    </r>
    <r>
      <rPr>
        <sz val="10"/>
        <rFont val="Arial Regular"/>
        <charset val="134"/>
      </rPr>
      <t xml:space="preserve"> button in the bottom navigation bar</t>
    </r>
  </si>
  <si>
    <t>The notification toggle can be tapped to turn notifications on/off</t>
  </si>
  <si>
    <r>
      <rPr>
        <sz val="10"/>
        <rFont val="Arial Regular"/>
        <charset val="0"/>
      </rPr>
      <t xml:space="preserve">Tapping the </t>
    </r>
    <r>
      <rPr>
        <sz val="10"/>
        <rFont val="Songti SC"/>
        <charset val="0"/>
      </rPr>
      <t>【</t>
    </r>
    <r>
      <rPr>
        <sz val="10"/>
        <rFont val="Arial Regular"/>
        <charset val="0"/>
      </rPr>
      <t>Sign Out</t>
    </r>
    <r>
      <rPr>
        <sz val="10"/>
        <rFont val="Songti SC"/>
        <charset val="0"/>
      </rPr>
      <t>】</t>
    </r>
    <r>
      <rPr>
        <sz val="10"/>
        <rFont val="Arial Regular"/>
        <charset val="0"/>
      </rPr>
      <t xml:space="preserve"> button displays a dialog asking, "Exit the app?". Tapping </t>
    </r>
    <r>
      <rPr>
        <sz val="10"/>
        <rFont val="Songti SC"/>
        <charset val="0"/>
      </rPr>
      <t>【</t>
    </r>
    <r>
      <rPr>
        <sz val="10"/>
        <rFont val="Arial Regular"/>
        <charset val="0"/>
      </rPr>
      <t>Yes</t>
    </r>
    <r>
      <rPr>
        <sz val="10"/>
        <rFont val="Songti SC"/>
        <charset val="0"/>
      </rPr>
      <t>】</t>
    </r>
    <r>
      <rPr>
        <sz val="10"/>
        <rFont val="Arial Regular"/>
        <charset val="0"/>
      </rPr>
      <t xml:space="preserve"> closes the app, and tapping </t>
    </r>
    <r>
      <rPr>
        <sz val="10"/>
        <rFont val="Songti SC"/>
        <charset val="0"/>
      </rPr>
      <t>【</t>
    </r>
    <r>
      <rPr>
        <sz val="10"/>
        <rFont val="Arial Regular"/>
        <charset val="0"/>
      </rPr>
      <t>No</t>
    </r>
    <r>
      <rPr>
        <sz val="10"/>
        <rFont val="Songti SC"/>
        <charset val="0"/>
      </rPr>
      <t>】</t>
    </r>
    <r>
      <rPr>
        <sz val="10"/>
        <rFont val="Arial Regular"/>
        <charset val="0"/>
      </rPr>
      <t xml:space="preserve"> dismisses the dialog</t>
    </r>
  </si>
  <si>
    <t>A10</t>
  </si>
  <si>
    <t>General Demands</t>
  </si>
  <si>
    <t>You should rename the generated apk (Android) / app (iOS) file as XX_Module_A.apk (Android) / XX_Module_A.app (iOS),</t>
  </si>
  <si>
    <t>5.Note: XX refers to your workstation code.</t>
  </si>
  <si>
    <t>save it in the root of the XX_Module_A folder;</t>
  </si>
  <si>
    <t>J</t>
  </si>
  <si>
    <t>quality</t>
  </si>
  <si>
    <t>The layout differs greatly from the original design draft, with serious inconsistencies in the position, size and proportion of key elements.</t>
  </si>
  <si>
    <t>There are some differences between the layout and the original design draft, with slight deviations in the position or size of some key elements.</t>
  </si>
  <si>
    <t>The layout is relatively close to the original design draft, and the position and size of key elements are basically consistent.</t>
  </si>
  <si>
    <t>The layout is completely consistent with the original design draft, with precise matching of the position, size and proportion of all elements.</t>
  </si>
  <si>
    <t>Criterion B</t>
  </si>
  <si>
    <t>B1</t>
  </si>
  <si>
    <t>Git repository contains the compiled app and source code on the main branch</t>
  </si>
  <si>
    <t>App name is “TaskWeave X”, where X is the workstation number</t>
  </si>
  <si>
    <t>App icon was used</t>
  </si>
  <si>
    <t>When the app starts, the app icon is displayed to replace the default white splash screen.</t>
  </si>
  <si>
    <t>The app starts on the Board Page.</t>
  </si>
  <si>
    <t>All pages contain a navigation bar on the left.</t>
  </si>
  <si>
    <t>Navigation Bar</t>
  </si>
  <si>
    <t>0.10: app icon; 0.25 for each page button: button with icon exists and opens page; 0.10: current page is highlighted</t>
  </si>
  <si>
    <t>Provided tasks are shown when the app is first launched</t>
  </si>
  <si>
    <t>Create an app shortcut "Add Task" (which appears when long-clicking the app icon) that launches the app and opens the Task Dialog to create a new task.</t>
  </si>
  <si>
    <t>Changes are persisted across app restarts.</t>
  </si>
  <si>
    <t>After creating, editing, toggling completion, or deleting a task, a temporary message must appear with an "Undo" option that restores its previous state.</t>
  </si>
  <si>
    <t>0.25 each: creating, editing, toggling completion, deleting</t>
  </si>
  <si>
    <t>B2</t>
  </si>
  <si>
    <t>Statistics Page</t>
  </si>
  <si>
    <t>Text "This Week: X open tasks, Y completed tasks", where X and Y are calculated based on the current week (Monday to Sunday)</t>
  </si>
  <si>
    <t>0.25: 52 open tasks; 0.25: 1 completed task (with the provided tasks)</t>
  </si>
  <si>
    <t>Text "In Total: X open tasks, Y completed tasks", where X and Y are calculated based on all tasks</t>
  </si>
  <si>
    <t>0.25: 427 open tasks; 0.25: 14 completed tasks (with the provided tasks)</t>
  </si>
  <si>
    <t>Bar chart with one column for each day of the week (Monday to Sunday)</t>
  </si>
  <si>
    <t>1 completed task on Friday, 0 on the other days; 6, 8, 9, 6, 7, 9, 8 open tasks on Monday to Sunday (with the provided tasks)</t>
  </si>
  <si>
    <t>Bar chart contains representative segments for open and completed tasks of each day (if non-zero)</t>
  </si>
  <si>
    <t>Bar chart contains labels for number of open and completed tasks of each day (if non-zero)</t>
  </si>
  <si>
    <t>Bar chart contains weekday labels</t>
  </si>
  <si>
    <t>All numbers are calculated and updated when tasks are created, edited, or deleted.</t>
  </si>
  <si>
    <t>B3</t>
  </si>
  <si>
    <t>Board Page</t>
  </si>
  <si>
    <t>All elements present</t>
  </si>
  <si>
    <t>0.05: "Board" text; 0.05: Add Task button; 0.10 each: Five task columns (scrollable if necessary), each with Title and Scrollable task list; 0.20: Each priority group contains Title, Color, Add Task button, Tasks; 0.20: Each task contains Title (max 1 line), Optional short description (max 2 lines), Repeating icon (if applicable)</t>
  </si>
  <si>
    <t>Today &amp; Tomorrow: Tasks must be grouped by priority (High, Medium, Low). All groups are shown, even if they are empty.</t>
  </si>
  <si>
    <t>0.25 per column</t>
  </si>
  <si>
    <t>Today &amp; Tomorrow: Tasks can be dragged and dropped to reorder them within the same column, even across priority groups (automatically changing their priority).</t>
  </si>
  <si>
    <t>0.25: drag to reorder with same priority; 0.25: drag to change priority</t>
  </si>
  <si>
    <t>Overdue, Upcoming, &amp; Completed: Tasks are grouped by due date (Overdue: oldest first, Upcoming: soonest first, Completed: most recent first), then by priority.</t>
  </si>
  <si>
    <t>0.15 per column</t>
  </si>
  <si>
    <t>Overdue, Upcoming, &amp; Completed: Only due dates with tasks must be shown. However, for each shown date, all priority groups must be shown, even if they are empty.</t>
  </si>
  <si>
    <t>Overdue, Upcoming, &amp; Completed: Tasks can be dragged and dropped to reorder them within the same column, even across due dates and priority groups (automatically changing their due date and priority).</t>
  </si>
  <si>
    <t>0.25: drag to reorder with same priority; 0.25: drag to change due date; 0.25: drag to change priority</t>
  </si>
  <si>
    <t>Swiping from left to right on a task in the Today, Tomorrow, or Upcoming column moves its due date one day later.</t>
  </si>
  <si>
    <t>B4</t>
  </si>
  <si>
    <t>Calendar Page</t>
  </si>
  <si>
    <t>Simple elements present</t>
  </si>
  <si>
    <t>0.05 each: “Calendar” text, Year and month label, Add Task button</t>
  </si>
  <si>
    <t>Calendar elements present</t>
  </si>
  <si>
    <t>0.10: Column header for each day of the week (Monday to Sunday); 0.25: Row for every week of the month (number of rows can vary based on the month); 0.25: Day Cell for each day of the month, and possibly some days from the previous and next month to fill the grid</t>
  </si>
  <si>
    <t>Day cell elements present</t>
  </si>
  <si>
    <t>0.25: Each Day Cell contains Day number, Add Task button, and Scrollable task list; 0.20: Each task contains Title (max 2 lines), Color representing the priority, and Repeating icon (if applicable)</t>
  </si>
  <si>
    <t>Each Day Cell first contains open (non-completed) tasks in the same order as in the Today column of the Board Page (i.e., sorted by priority, then by custom reordering). Completed tasks show up below the open tasks, also sorted by priority and custom reordering.</t>
  </si>
  <si>
    <t>Completed tasks must be clearly distinguishable from open tasks.</t>
  </si>
  <si>
    <t>By default, the current month is displayed and the current day is visually highlighted.</t>
  </si>
  <si>
    <t>0.10: current month; 0.10: current day</t>
  </si>
  <si>
    <t>The user can swipe left or right to navigate between months. The year and month label must update accordingly.</t>
  </si>
  <si>
    <t>0.50: swiping; 0.10: label updates</t>
  </si>
  <si>
    <t>B5</t>
  </si>
  <si>
    <t>Functional Requirements for both Board and Calendar Pages</t>
  </si>
  <si>
    <t>For repeating tasks, all completed/overdue occurrences and all occurrences in the current and next month must be shown.</t>
  </si>
  <si>
    <t>0.60: there are tasks on every day in April and May, but not in March or June; 0.70: 3 tasks on 2026-04-07: Morning workout, Write journal, Laundry; 0.70: 7 tasks on 2026-05-03</t>
  </si>
  <si>
    <t>Clicking on a task toggles it between completed and not completed.</t>
  </si>
  <si>
    <t>Long-pressing a task opens the Task Dialog to edit the task.</t>
  </si>
  <si>
    <t>When a task gets added or edited, it must automatically move to the correct position. An animation is not necessary.</t>
  </si>
  <si>
    <t>Clicking on an Add Task button opens the Task Dialog to create a new task.</t>
  </si>
  <si>
    <t>For Add Task buttons in a Day cell or priority group, the Task Dialog must open with the corresponding due date and/or priority preselected.</t>
  </si>
  <si>
    <t>B6</t>
  </si>
  <si>
    <t>Task Dialog</t>
  </si>
  <si>
    <t>0.10 each</t>
  </si>
  <si>
    <t>The single-line Title text field validates that the title is not empty in real-time. If the title is empty, display a red error message "Title must not be empty" and disable the Create/Save Button.</t>
  </si>
  <si>
    <t>0.10: single line; 0.10: non-empty validation</t>
  </si>
  <si>
    <t>The Due Date picker must support picking an arbitrary date from a calendar view (no text field, no additional dialog).</t>
  </si>
  <si>
    <t>only 0.25 if the due date can be picked differently</t>
  </si>
  <si>
    <t>Unless otherwise noted, the Priority defaults to "Low", Repeating defaults to "Never", and Due Date defaults to one week from now.</t>
  </si>
  <si>
    <t>The Priority, Repeating, and Due Date must always have a valid value selected.</t>
  </si>
  <si>
    <t>Clicking the Create Button creates a new task with the specified properties and closes the dialog.</t>
  </si>
  <si>
    <t>Clicking the Save Button applies changes to the existing task and closes the dialog.</t>
  </si>
  <si>
    <t>Clicking the Delete Button deletes the existing task and closes the dialog.</t>
  </si>
  <si>
    <t>When editing repeating task: The Repeating selector and Due Date picker must be disabled.</t>
  </si>
  <si>
    <t>When editing repeating task: When clicking the Save button, this and all future occurrences must be updated. Past occurrences must not be affected.</t>
  </si>
  <si>
    <t>When editing repeating task: When clicking the Delete button, the user must be prompted to choose whether to delete only the current occurrence or all future occurrences as well. Past occurrences must not be affected.</t>
  </si>
  <si>
    <t>0.50 for each option (if it works)</t>
  </si>
  <si>
    <t>Criterion C</t>
  </si>
  <si>
    <t>C1</t>
  </si>
  <si>
    <t>1) The application should show the application icon (media-files/media/appIcon.png) on the home screen. [0.2]</t>
  </si>
  <si>
    <t>1) All non-authentication main pages should contain a bottom navigation bar with "Daily Run" and "Records". [0.3]</t>
  </si>
  <si>
    <t>1) All app data should be stored locally and remain visible after restarting the app. [1.0]</t>
  </si>
  <si>
    <t>1) The first page for a fresh start must be the Sign In Page. [0.3]</t>
  </si>
  <si>
    <t>1) The work is submitted to the given repository and packaged as requested. [0.5]</t>
  </si>
  <si>
    <t>The app is user friendly and well implemented.</t>
  </si>
  <si>
    <t>cannot run / no functionalities</t>
  </si>
  <si>
    <t>only a few functionalities are implemented</t>
  </si>
  <si>
    <t xml:space="preserve">most of the functionalities are implemented </t>
  </si>
  <si>
    <t>perfectly built, maybe with minor issues</t>
  </si>
  <si>
    <t>The user interface and app navigation aligns with the given specification.</t>
  </si>
  <si>
    <t>many UI elements / pages are missing.</t>
  </si>
  <si>
    <t xml:space="preserve">the app somehow works but inappropriate UI / app navigation is implemented. </t>
  </si>
  <si>
    <t xml:space="preserve">most of the UI / app navigation works fine, but something is missing.  </t>
  </si>
  <si>
    <t>the app is perfectly built, maybe with minor issues</t>
  </si>
  <si>
    <t>C2</t>
  </si>
  <si>
    <t>Sign In Page - UI Element Requirements</t>
  </si>
  <si>
    <t>1) App title label [0.1]
2) Vehicle / operator information labels [0.1]
3) Biometric sign-in button [0.2]
4) Supporting text for Touch ID / Face ID [0.1]</t>
  </si>
  <si>
    <t>Sign In Page - Functional Requirements</t>
  </si>
  <si>
    <t>1) The biometric button triggers a system biometric prompt. [1.5]
2) After successful authentication, the app navigates to the Daily Record Page. [1.0]</t>
  </si>
  <si>
    <t>C3</t>
  </si>
  <si>
    <t>Daily Record Page</t>
  </si>
  <si>
    <t>Daily Record Page - UI Element Requirements</t>
  </si>
  <si>
    <t>1) Navigation Bar with "Daily Run" title [0.1]
2) Run date and status labels [0.1]
3) "Add Stop" button [0.1]
4) "Check Out" button [0.1]
5) Stop list [0.2]
6) Bottom navigation bar [0.1]</t>
  </si>
  <si>
    <t>Daily Record Page - Create / Open Record</t>
  </si>
  <si>
    <t>1) The user can create one active record per calendar day. [0.5]
2) If a record already exists for the current day, the app opens that record instead of creating a duplicate. [1.0]
3) The run date shows the selected day correctly. [0.5]</t>
  </si>
  <si>
    <t>Daily Record Page - Stop List and Persistence</t>
  </si>
  <si>
    <t>1) The stop list shows saved stops in ascending input order. [0.6]
2) Clicking "Add Stop" opens the Add Cash Stop Page. [0.2]
3) Clicking "Check Out" opens the Check Out Summary Page. [0.2]
4) The app shows a proper empty-state UI when there are no stops. [0.5]
5) The active record remains visible after restart. [1.0]</t>
  </si>
  <si>
    <t>C4</t>
  </si>
  <si>
    <t>Add Cash Stop Page</t>
  </si>
  <si>
    <t>Add Cash Stop Page - UI Element Requirements</t>
  </si>
  <si>
    <t>1) Navigation Bar with "Add Cash Stop" title and "Cancel" / "Save" buttons [0.2]
2) Cash in amount input [0.1]
3) Spot name input [0.1]
4) Latitude and longitude inputs [0.2]
5) "Use Current Location" button [0.1]
6) Error message label [0.1]</t>
  </si>
  <si>
    <t>Add Cash Stop Page - Save and Current Location</t>
  </si>
  <si>
    <t>1) Clicking "Use Current Location" requests location permission [0.8] when needed and fills the coordinates. [1.0]
2) The coordinate fields remain editable after current location is used. [0.2]
3) Clicking "Save" stores the stop with the current time and dismisses the page. [1.0]
4) The saved stop appears immediately in the Daily Record Page. [0.5]
5) Clicking "Cancel" dismisses the page. [0.2]</t>
  </si>
  <si>
    <t>Add Cash Stop Page - Validation</t>
  </si>
  <si>
    <t>1) Cash in amount is required, numeric, and greater than 0. [0.4]
2) Spot name is required. [0.2]
3) Latitude is required and numeric. [0.2]
4) Longitude is required and numeric. [0.2]
5) Validation failure shows an error and does not dismiss the page. [0.3]</t>
  </si>
  <si>
    <t>C5</t>
  </si>
  <si>
    <t>Check Out Summary Page</t>
  </si>
  <si>
    <t>Check Out Summary Page - UI Element Requirements</t>
  </si>
  <si>
    <t>1) Navigation Bar with "Check Out Summary" title [0.1]
2) Run date label [0.1]
3) Total cash in amount label [0.1]
4) Travel distance label [0.1]
5) Stop count label [0.1]
6) Save and Cancel buttons [0.1]</t>
  </si>
  <si>
    <t>Check Out Summary Page - Functional Requirements</t>
  </si>
  <si>
    <t>1) The total cash in amount equals the sum of all saved cash in amounts. [1.0]
2) The travel distance equals the sum of consecutive stop distances in input order. [1.5]
3) If the record has fewer than two stops, the travel distance is 0. [0.5]
4) Save completes the active record and stores the total cash in amount and travel distance locally. [0.5]
5) The completed record appears correctly in the Records List Page. [0.2]
6) Clicking "Cancel" dismisses the page [0.1]</t>
  </si>
  <si>
    <t>C6</t>
  </si>
  <si>
    <t>Records List Page</t>
  </si>
  <si>
    <t>Records List Page - UI Element Requirements</t>
  </si>
  <si>
    <t>1) Navigation Bar with "Records" title [0.1]
2) Record list cell [0.1]
3) Status label [0.1]
4) Total cash in amount label [0.1]
5) Travel distance label [0.1]</t>
  </si>
  <si>
    <t>Records List Page - Functional Requirements</t>
  </si>
  <si>
    <t>1) The list should show all saved records stored locally. And ehe list should remain correct after restarting the app. [0.5]
2) The list is sorted in descending order by record date. [0.5]
3) Completed records show the saved total cash in amount and saved travel distance. [1.0]
4) Active records show the active status properly. [0.5]</t>
  </si>
  <si>
    <t>Criterion D</t>
  </si>
  <si>
    <t>D1</t>
  </si>
  <si>
    <t/>
  </si>
  <si>
    <t>Instructions to the Competitor</t>
  </si>
  <si>
    <t>Deduct 0.1
1. Push the project to the Git server promptly(Repository)
2. Save the correct filename
3. It was submitted on time.</t>
  </si>
  <si>
    <t>Navigation Sidebar &amp; Common
Elements</t>
  </si>
  <si>
    <t>Deduct 0.1
1. Symbol &amp; Text: "SceneReady"
2. Menu item: "Dashboard” &amp; icon
3. Menu item: "Scenes” &amp; icon
4. Menu item: "Schedule” &amp; icon
5. Menu item: "Reports” &amp; icon
6. Menu item: "Projects” &amp; icon
7. Menu item: "Team” &amp; icon
8. Section label text: "RESOURCES”
9. Menu item: "Props” &amp; icon
10. Menu item: "Cast” &amp; icon
11. Menu item: "Extras” &amp; icon
12. Menu item: "Locations” &amp; icon
[Bottom Utility Area]
13. Notification icon button
14. Notification badge (number indicator)
15. User/Profile icon button
16. Help icon button
17. Settings icon button</t>
  </si>
  <si>
    <t>Navigation Sidebar &amp; Common
Requirements</t>
  </si>
  <si>
    <t>Deduct 0.1
1. When the app starts, the Dashboard page is visible.
2. When a menu item is clicked, navigate to the corresponding page. (Dashboard, Scenes, Schedule, RESOURCES)
3. The selected menu item must be visually highlighted. 
4. The navigation sidebar must remain fixed and visible at all times.</t>
  </si>
  <si>
    <t>Application easy to use</t>
  </si>
  <si>
    <t>App does not run normally</t>
  </si>
  <si>
    <t>App runs normally, but some functions are hard to use.</t>
  </si>
  <si>
    <t>App runs normally, and most of the functions are easy to use, a few of functions are hard to use.</t>
  </si>
  <si>
    <t>App runs normally, and the functional experience is good, all users can enjoy it.</t>
  </si>
  <si>
    <t>D2</t>
  </si>
  <si>
    <t>Dashboard Page</t>
  </si>
  <si>
    <t>Dashboard Page
Elements</t>
  </si>
  <si>
    <t>Deduct 0.1
[Project Overview Area]
1. Title text: “Project Overview”
2. Card: “Total Scenes” text &amp; value 
3. Card: “Completed” text &amp; value
4. Card: “In Progress” text &amp; value
5. Card: “Missing Items” text &amp; value
[Schedule Area]
6. Title text: “Schedule”
7. Date selector button
8. Each schedule item include:
9. Time text
10. Scene code text
11. Location text
12. Status label
[Alerts Area]
13. Title text: “Alerts”
14. Each alert item include:
15. Scene code text
16. Issue count text
17. Issue list text.</t>
  </si>
  <si>
    <t>Dashboard Page
Requirements</t>
  </si>
  <si>
    <t>Deduct 0.1
[Project Overview Area]
1. The Project Overview Area is implemented based on the provided JSON data.
[Schedule Area]
2. The Schedule Area is implemented based on the provided JSON data.
3. Users can navigate to the previous or next day by clicking the navigation buttons.
4. When the date selector buttons are clicked, a date selection list must be displayed.
5. When a date is selected, the schedule list must update accordingly.
6. The schedule list must be displayed in chronological order based on time.
7. When a schedule item is clicked, it must navigate to the corresponding Scene Detail page.
[Alerts Area]
8. The Alerts Area is implemented based on the provided JSON data.
9. When an alert item is clicked, it must navigate to the Checklist tab of the corresponding Scene Detail page(Checklist tab selected)).</t>
  </si>
  <si>
    <t>D3</t>
  </si>
  <si>
    <t>Scene Page</t>
  </si>
  <si>
    <t>Scene Page
Elements</t>
  </si>
  <si>
    <t>Deduct 0.1
[Header Area]
1. Page title text: “Scenes” with icon
2. Button: “Add Scene” with icon
[Summary Cards &amp; Search]
3. Card: “Total Scenes” text &amp; value
4. Card: “Completed” text &amp; value
5. Card: “In Progress” text &amp; value
6. Card: “Not Started” text &amp; value
7. Search input field (placeholder: “Search scenes…”) with icon
[Scene List Area] Each scene card must include:
8. Scene code text (e.g., SC-01)
9. Scene title text
10. Scene description text
11. Duration text
12. Shot count text
13. Location text
14. Status label with icon
15. Checklist progress text (e.g., 2/4)
16. Checklist progress bar</t>
  </si>
  <si>
    <t>Scene Page
Requirements</t>
  </si>
  <si>
    <t>Deduct 0.1
1. All data must be displayed based on the provided JSON data. 
[Summary Cards]
2. “Total Scenes” must display the total number of scenes.
3. “Completed” must display the number of scenes with status “completed”.
4. “In Progress” must display the number of scenes with status “in-progress”.
5. “Not Started” must display the number of scenes with status “not-started”.
6. When a summary card is selected, the scene list must be filtered by the corresponding status.
7. The selected summary card must be visually highlighted.
[Search Area &amp; Scene List Area]
8. Each scene must be displayed as a card.
9. The scene status must be displayed as a label on each card.
10. The checklist progress must be calculated based on checklist items.
11. The progress bar must reflect the checklist completion ratio.
12. When text is entered in the search field, the scene list must be filtered by scene title or scene code.
13. If no results are found, the message "No scenes found matching your criteria" must be displayed.
14. When a scene card is clicked, it must navigate to the corresponding Scene Detail page (Basic Info tab selected).</t>
  </si>
  <si>
    <t>D4</t>
  </si>
  <si>
    <t>Scene Detail Page</t>
  </si>
  <si>
    <t>Scene Detail Page(Basic info)
Elements</t>
  </si>
  <si>
    <t>Deduct 0.1
[Header Area]
1. Back icon button
2. Scene code text (e.g., SC-01)
3. Status label
4. Scene title text
5. Button: “Edit” with icon
6. Button: “Delete” with icon
[Tab Area]
7. Tab: “Basic Info”
8. Tab: “Resources”
9. Tab: “Checklist”
[Basic Info Area]
10. Section title text: “Description”
11. Scene description text
12. Section title text: “Location”
13. Location text
14. Section title text: “Duration”
15. Duration text
16. Section title text: “Shot Count”
17. Shot count text
18. Section title text: “Status”
19. Status selection buttons
20. Section title text: “Notes”
21. Notes text
[Quick Stats Area]
22. Section title text: “Quick Stats”
23. Props count text
24. Cast count text
25. Extras count text
26. Locations count text
27. Checklist progress text (e.g., 4/4)
[Storyboard / Conti Area]
28. Section title text: “Storyboard / Conti”
When PDF exists: 
29. PDF viewer container
30. Button: “Open in New Tab” with icon
When PDF does not exist: 
31. Empty state (no storyboard content displayed</t>
  </si>
  <si>
    <t>Scene Detail Page(Basic info)
Requirements</t>
  </si>
  <si>
    <t>Deduct 0.1
1. All data must be displayed based on the provided JSON data.
2. The “Basic Info” tab must be visually highlighted as the selected tab.
[Header Area]
3. The scene code, title, and status must be displayed based on the selected scene.
4. When the back button is clicked, it must navigate to the Scenes page.
[Tab Area]
5. The “Basic Info” tab must be selected by default.
6. When a tab is clicked, the corresponding content must be displayed.
[Basic Info Area]
7. The status selection buttons must reflect the current scene status.
8. The selected status must be preserved even after the application is restarted. 
[Quick Stats Area]
9. All counts must be calculated based on the related data (props, cast, extras, locations).
10. Checklist progress must be calculated based on checklist items.
[Storyboard / Conti Area]
11. The Storyboard / Conti area must be implemented based on the provided JSON data.
12. If a PDF file exists for the scene, the PDF content must be displayed in the viewer area. [0.4]
13. If no PDF file exists, the Storyboard / Conti area must not display any PDF content.
14. When the “Open in New Tab” button is clicked, the PDF must be displayed in a larger full-screen view. [0.4]</t>
  </si>
  <si>
    <t>Scene Detail Page(Resources)
Elements</t>
  </si>
  <si>
    <t>Deduct 0.1
[Props Area]
1. Section title text: “Props” with count
2. Prop name text
3. Availability status text
[Cast Area]
4. Section title text: “Cast” with count
5. Cast name text
6. Cast role text
[Extras Area]
7. Section title text: “Extras” with count
8. Extra description text
When no extras exist: 
9. Empty state text (e.g., “No extras assigned”)
[Locations Area]
10. Section title text: “Locations” with count
11. Location name text
12. Location description text
13. Availability status text</t>
  </si>
  <si>
    <t>Scene Detail Page(Resources)
Requirements</t>
  </si>
  <si>
    <t>Deduct 0.1
1. All data must be displayed based on the provided JSON data.
2. The “Resources” tab must be visually highlighted as the selected tab.
[Resources Area]
3. Each resource type (Props, Cast, Extras, Locations) must be displayed in separate sections.
[Props Area]
4. All props assigned to the selected scene must be displayed.
5. Each prop must display its availability status.
[Cast Area]
6. All cast assigned to the selected scene must be displayed.
7. Each cast must display their role information.
[Extras Area]
8. All extras assigned to the selected scene must be displayed.
9. If no extras are assigned, an empty state message must be displayed.
[Locations Area]
10. All locations assigned to the selected scene must be displayed.
11. Each location must display its availability status.</t>
  </si>
  <si>
    <t>Scene Detail Page(Checklist)
Elements</t>
  </si>
  <si>
    <t>Deduct 0.1
[Checklist Area]
1. Section title text: “Scene Checklist”
2. Checklist progress text (e.g., 4 / 4 completed)
[Checklist Item] Each item must include:
3. Checkbox Checkbox
4. Checklist item text
5. Category text (e.g., Equipment, Props, Cast)</t>
  </si>
  <si>
    <t>Scene Detail Page(Checklist)
Requirements</t>
  </si>
  <si>
    <t>Deduct 0.1
1. The “Checklist” tab must be visually highlighted as the selected tab.
[Checklist Area]
2. All checklist items for the selected scene must be displayed.
3. Each checklist item must display its category.
4. When a checklist item is clicked, its status must toggle between completed and not completed.
5. The checklist progress must update accordingly.
6. The checklist status must be preserved even after the application is restarted.</t>
  </si>
  <si>
    <t>D5</t>
  </si>
  <si>
    <t>Schedule Page</t>
  </si>
  <si>
    <t>Schedule Page
Elements</t>
  </si>
  <si>
    <t>Deduct 0.1
[Header Area]
1. Page title text: “Schedule” with icon
2. Button: “Add Schedule” with icon
3. Button: “Edit” with icon
4. Button: “Delete” with icon
5. Previous date button
6. Date selector button with icon
7. Current date text
8. Next date button
[Schedule Item] Each item must include:
9. Time text (e.g., 07:00 AM)
10. Scene code text (e.g., SC-11)
11. Status label
12. Scene title text
13. Scene description text
14. Location text
15. Duration text
16. Shot count text
[Date Selection List]
17. Date selection list container
18. Date item text
19. Scene count text for each date</t>
  </si>
  <si>
    <t>Schedule Page
Requirements</t>
  </si>
  <si>
    <t>Deduct 0.1
1. All data must be displayed based on the provided JSON data.
2. The “Schedule” menu must be visually highlighted as the selected menu.
3. When a schedule item is clicked, it must navigate to the corresponding Scene Detail page.
[Schedule List Area]
4. All schedule items must be displayed based on the provided JSON data.
5. The schedule list must be filtered by the selected date.
6. The schedule list must be displayed in chronological order based on time.
[Date Navigation]
7. When the previous date button is clicked, the schedule date must change to the previous available date.
8. When the next date button is clicked, the schedule date must change to the next available date.
9. When the date is changed, the schedule list must update accordingly.
[Date Selection List]
10. When the date selector button is clicked, a date selection list must be displayed.
11. The date selection list must display all available dates based on the provided JSON data.
12. Each date item must display the number of scenes for that date.
13. When a date item is clicked, the selected date must be updated accordingly.
14. The selected date in the list must be visually highlighted.
15. When a date is selected, the schedule list must update accordingly.</t>
  </si>
  <si>
    <t>D6</t>
  </si>
  <si>
    <t>Props Page</t>
  </si>
  <si>
    <t>Props Page
Elements</t>
  </si>
  <si>
    <t xml:space="preserve">Deduct 0.1
[Header Area]
1. Page title text: “Props” with icon
2. Button: “Add Prop” with icon
[Summary Cards]
3. Card: “Total Props” text &amp; value
4. Card: “Available” text &amp; value
5. Card: “Reserved” text &amp; value
6. Card: “Unavailable” text &amp; value
[Search &amp; Filter Area]
7. Search input field (placeholder: “Search props…”)
8. Filter button: “All”
9. Filter button: “Available”
10. Filter button: “Reserved”
11. Filter button: “Unavailable”
[Prop Item] Each item must include:
12. Prop name text
13. Description text
14. “Used in scenes” text
15. Scene code text
16. Status label with icon </t>
  </si>
  <si>
    <t>Props Page
Requirements</t>
  </si>
  <si>
    <t>Deduct 0.1
1. The “Props” menu must be visually highlighted as the selected menu.
[Summary Cards]
2. All summary values must be calculated based on the provided JSON data.
[Search &amp; Filter Area]
3. When text is entered in the search field, the props list must be filtered by prop name.
4. When a filter button is selected, the props list must be filtered by the corresponding status
5. The selected filter button must be visually highlighted.
[Props List Area]
6. All props must be displayed based on the provided JSON data.
7. Each prop must be displayed as a card.
8. Each prop must display its availability status.
9. When a scene code in the “Used in scenes” section is clicked, it must navigate to the corresponding Scene Detail page with the Resources tab selected.</t>
  </si>
  <si>
    <t>D7</t>
  </si>
  <si>
    <t>Cast Page</t>
  </si>
  <si>
    <t>Cast Page
Elements</t>
  </si>
  <si>
    <t>Deduct 0.1
[Header Area]
1. Page title text: “Cast” with icon
2. Button: “Add Cast Member” with icon
[Summary Cards]
3. Card: “Total Cast” text &amp; value
4. Card: “Available” text &amp; value
5. Card: “Unavailable” text &amp; value
[Search &amp; Filter Area]
6. Search input field (placeholder: “Search cast…”)
7. Filter button: “All”
8. Filter button: “Available”
9. Filter button: “Unavailable”
[Cast Item] Each item must include:
10. Cast image or placeholder icon
11. Cast name text
12. Description text
13. Status label with icon
14. “Appears in scenes” text
15. Scene code text</t>
  </si>
  <si>
    <t>Cast Page
Requirements</t>
  </si>
  <si>
    <t>Deduct 0.1
1. The “Cast” menu must be visually highlighted as the selected menu.
[Summary Cards]
2. All summary values must be calculated based on the provided JSON data.
[Search &amp; Filter Area]
3. When text is entered in the search field, the cast list must be filtered by cast name.
4. When a filter button is selected, the cast list must be filtered by the corresponding status.
5. The selected filter button must be visually highlighted.
[Cast List Area]
6. All cast members must be displayed based on the provided JSON data.
7. Each cast member must be displayed as a card.
8. Each cast member must display its availability status.
9. When a scene code in the “Appears in scenes” section is clicked, it must navigate to the corresponding Scene Detail page with the Resources tab selected.</t>
  </si>
  <si>
    <t>D8</t>
  </si>
  <si>
    <t>Extras Page</t>
  </si>
  <si>
    <t>Extras Page
Elements</t>
  </si>
  <si>
    <t>Deduct 0.1
[Header Area]
1. Page title text: “Extras” with icon
2. Button: “Add Extras Group” with icon
[Summary Cards]
3. Card: “Total Groups” text &amp; value
4. Card: “Available” text &amp; value
5. Card: “Reserved” text &amp; value
6. Card: “Unavailable” text &amp; value
[Search &amp; Filter Area]
7. Search input field (placeholder: “Search extras…”)
8. Filter button: “All”
9. Filter button: “Available”
10. Filter button: “Reserved”
11. Filter button: “Unavailable”
[Extras Item] Each item must include:
12. Extras group icon or placeholder
13. Extras group name text
14. Number of people text (e.g., “10 people”)
15. Description text
16. “Used in scenes” text
17. Scene code text
18. Status label with icon</t>
  </si>
  <si>
    <t>Extras Page
Requirements</t>
  </si>
  <si>
    <t>Deduct 0.1
1. The “Extras” menu must be visually highlighted as the selected menu.
[Summary Cards]
2. All summary values must be calculated based on the provided JSON data.
[Search &amp; Filter Area]
3. When text is entered in the search field, the extras list must be filtered by group name.
4. When a filter button is selected, the extras list must be filtered by the corresponding status.
5. The selected filter button must be visually highlighted.
[Extras List Area]
6. All extras groups must be displayed based on the provided JSON data.
7. Each extras group must be displayed as a card.
8. Each extras group must display its availability status.
9. When a scene code in the “Used in scenes” section is clicked, it must navigate to the corresponding Scene Detail page with the Resources tab selected.</t>
  </si>
  <si>
    <t>D9</t>
  </si>
  <si>
    <t>Locations Page</t>
  </si>
  <si>
    <t>Locations Page
Elements</t>
  </si>
  <si>
    <t>Deduct 0.1
[Header Area]
1. Page title text: “Locations” with icon
2. Button: “Add Location” with icon
[Summary Cards]
3. Card: “Total Locations” text &amp; value
4. Card: “Available” text &amp; value
5. Card: “Studio Sets” text &amp; value
6. Card: “On Location” text &amp; value
[Search &amp; Filter Area]
7. Search input field (placeholder: “Search locations…”)
8. Filter button: “All”
9. Filter button: “Available”
10. Filter button: “Reserved”
[Location Item] Each item must include:
11. Location icon or placeholder
12. Location name text
13. Location type text 
14. Description text
15. Status label with icon
16. “Used in scenes” text
17. Scene code text</t>
  </si>
  <si>
    <t>Locations Page
Requirements</t>
  </si>
  <si>
    <t>Deduct 0.1
1. The “Locations” menu must be visually highlighted as the selected menu.
[Summary Cards]
2. All summary values must be calculated based on the provided JSON data.
[Search &amp; Filter Area]
3. When text is entered in the search field, the locations list must be filtered by location name.
4. When a filter button is selected, the locations list must be filtered by the corresponding status.
5. The selected filter button must be visually highlighted.
[Locations List Area]
6. All locations must be displayed based on the provided JSON data.
7. Each location must be displayed as a card.
8. Each location must display its availability status.
9. When a scene code in the “Used in scenes” section is clicked, it must navigate to the corresponding Scene Detail page with the Resources tab selected.</t>
  </si>
  <si>
    <t>Criterion E</t>
  </si>
  <si>
    <t>Criterion F</t>
  </si>
  <si>
    <t>Criterion G</t>
  </si>
  <si>
    <t>Criterion H</t>
  </si>
  <si>
    <t>Criterion I</t>
  </si>
  <si>
    <t>Competition</t>
  </si>
  <si>
    <t>REGULAR_DIFFERENCE_DEDUCTION</t>
  </si>
  <si>
    <t>DEDUCTION_TYPE:::#x~x#PERCENT#-#TARGET_VAL_FROM_REQ:::#x~x#true#-#DIFFERENCE:::10.00000000#x~x##-#TARGET_VALUE:::11.00000000#x~x##-#NUM_POSSIBLE:::3.00000000#x~x##-#DIFFERENCE_TYPE:::#x~x#UNIT#-#DEDUCTION:::8.00000000#x~x#</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</si>
</sst>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8">
    <font>
      <sz val="10"/>
      <color theme="1"/>
      <name val="Arial"/>
      <charset val="134"/>
    </font>
    <font>
      <sz val="18"/>
      <color indexed="9"/>
      <name val="Arial"/>
      <charset val="134"/>
    </font>
    <font>
      <sz val="10"/>
      <name val="Arial"/>
      <charset val="134"/>
    </font>
    <font>
      <sz val="16"/>
      <color indexed="9"/>
      <name val="Arial"/>
      <charset val="134"/>
    </font>
    <font>
      <sz val="10"/>
      <color indexed="9"/>
      <name val="Arial"/>
      <charset val="134"/>
    </font>
    <font>
      <sz val="10"/>
      <color rgb="FFFFFFFF"/>
      <name val="Arial"/>
      <charset val="134"/>
    </font>
    <font>
      <sz val="16"/>
      <name val="Arial"/>
      <charset val="134"/>
    </font>
    <font>
      <sz val="16"/>
      <color indexed="8"/>
      <name val="Arial"/>
      <charset val="134"/>
    </font>
    <font>
      <sz val="10"/>
      <name val="Arial Regular"/>
      <charset val="134"/>
    </font>
    <font>
      <sz val="10"/>
      <color rgb="FF000000"/>
      <name val="Arial Regular"/>
      <charset val="0"/>
    </font>
    <font>
      <sz val="10"/>
      <name val="Arial"/>
      <charset val="1"/>
    </font>
    <font>
      <sz val="10"/>
      <name val="Arial Regular"/>
      <charset val="0"/>
    </font>
    <font>
      <sz val="10"/>
      <name val="Arial Regular"/>
      <charset val="0"/>
    </font>
    <font>
      <sz val="10"/>
      <color theme="1"/>
      <name val="Arial"/>
      <charset val="1"/>
    </font>
    <font>
      <sz val="10"/>
      <color rgb="FF000000"/>
      <name val="PingFang TC"/>
      <charset val="136"/>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宋体-简"/>
      <charset val="134"/>
    </font>
    <font>
      <sz val="10"/>
      <color rgb="FF000000"/>
      <name val="Songti SC"/>
      <charset val="0"/>
    </font>
    <font>
      <sz val="10"/>
      <name val="Songti SC"/>
      <charset val="0"/>
    </font>
  </fonts>
  <fills count="35">
    <fill>
      <patternFill patternType="none"/>
    </fill>
    <fill>
      <patternFill patternType="gray125"/>
    </fill>
    <fill>
      <patternFill patternType="solid">
        <fgColor indexed="55"/>
        <bgColor indexed="64"/>
      </patternFill>
    </fill>
    <fill>
      <patternFill patternType="solid">
        <fgColor rgb="FF969696"/>
        <bgColor rgb="FF0000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medium">
        <color auto="1"/>
      </left>
      <right style="medium">
        <color auto="1"/>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bottom style="medium">
        <color auto="1"/>
      </bottom>
      <diagonal/>
    </border>
    <border>
      <left style="medium">
        <color auto="1"/>
      </left>
      <right style="medium">
        <color indexed="8"/>
      </right>
      <top/>
      <bottom/>
      <diagonal/>
    </border>
    <border>
      <left/>
      <right style="medium">
        <color indexed="8"/>
      </right>
      <top/>
      <bottom/>
      <diagonal/>
    </border>
    <border>
      <left style="medium">
        <color indexed="8"/>
      </left>
      <right style="medium">
        <color indexed="8"/>
      </right>
      <top/>
      <bottom style="medium">
        <color indexed="8"/>
      </bottom>
      <diagonal/>
    </border>
    <border>
      <left/>
      <right style="medium">
        <color indexed="8"/>
      </right>
      <top/>
      <bottom style="medium">
        <color indexed="8"/>
      </bottom>
      <diagonal/>
    </border>
    <border>
      <left/>
      <right/>
      <top/>
      <bottom style="medium">
        <color indexed="8"/>
      </bottom>
      <diagonal/>
    </border>
    <border>
      <left style="medium">
        <color indexed="8"/>
      </left>
      <right style="medium">
        <color indexed="8"/>
      </right>
      <top/>
      <bottom/>
      <diagonal/>
    </border>
    <border>
      <left style="medium">
        <color auto="1"/>
      </left>
      <right style="medium">
        <color auto="1"/>
      </right>
      <top/>
      <bottom/>
      <diagonal/>
    </border>
    <border>
      <left/>
      <right style="medium">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5" fillId="0" borderId="0" applyFont="0" applyFill="0" applyBorder="0" applyAlignment="0" applyProtection="0">
      <alignment vertical="center"/>
    </xf>
    <xf numFmtId="44" fontId="15" fillId="0" borderId="0" applyFont="0" applyFill="0" applyBorder="0" applyAlignment="0" applyProtection="0">
      <alignment vertical="center"/>
    </xf>
    <xf numFmtId="9" fontId="15" fillId="0" borderId="0" applyFont="0" applyFill="0" applyBorder="0" applyAlignment="0" applyProtection="0">
      <alignment vertical="center"/>
    </xf>
    <xf numFmtId="41" fontId="15" fillId="0" borderId="0" applyFont="0" applyFill="0" applyBorder="0" applyAlignment="0" applyProtection="0">
      <alignment vertical="center"/>
    </xf>
    <xf numFmtId="42" fontId="15" fillId="0" borderId="0" applyFon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5" fillId="4" borderId="13" applyNumberFormat="0" applyFont="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14" applyNumberFormat="0" applyFill="0" applyAlignment="0" applyProtection="0">
      <alignment vertical="center"/>
    </xf>
    <xf numFmtId="0" fontId="22" fillId="0" borderId="14" applyNumberFormat="0" applyFill="0" applyAlignment="0" applyProtection="0">
      <alignment vertical="center"/>
    </xf>
    <xf numFmtId="0" fontId="23" fillId="0" borderId="15" applyNumberFormat="0" applyFill="0" applyAlignment="0" applyProtection="0">
      <alignment vertical="center"/>
    </xf>
    <xf numFmtId="0" fontId="23" fillId="0" borderId="0" applyNumberFormat="0" applyFill="0" applyBorder="0" applyAlignment="0" applyProtection="0">
      <alignment vertical="center"/>
    </xf>
    <xf numFmtId="0" fontId="24" fillId="5" borderId="16" applyNumberFormat="0" applyAlignment="0" applyProtection="0">
      <alignment vertical="center"/>
    </xf>
    <xf numFmtId="0" fontId="25" fillId="6" borderId="17" applyNumberFormat="0" applyAlignment="0" applyProtection="0">
      <alignment vertical="center"/>
    </xf>
    <xf numFmtId="0" fontId="26" fillId="6" borderId="16" applyNumberFormat="0" applyAlignment="0" applyProtection="0">
      <alignment vertical="center"/>
    </xf>
    <xf numFmtId="0" fontId="27" fillId="7" borderId="18" applyNumberFormat="0" applyAlignment="0" applyProtection="0">
      <alignment vertical="center"/>
    </xf>
    <xf numFmtId="0" fontId="28" fillId="0" borderId="19" applyNumberFormat="0" applyFill="0" applyAlignment="0" applyProtection="0">
      <alignment vertical="center"/>
    </xf>
    <xf numFmtId="0" fontId="29" fillId="0" borderId="20" applyNumberFormat="0" applyFill="0" applyAlignment="0" applyProtection="0">
      <alignment vertical="center"/>
    </xf>
    <xf numFmtId="0" fontId="30" fillId="8" borderId="0" applyNumberFormat="0" applyBorder="0" applyAlignment="0" applyProtection="0">
      <alignment vertical="center"/>
    </xf>
    <xf numFmtId="0" fontId="31" fillId="9" borderId="0" applyNumberFormat="0" applyBorder="0" applyAlignment="0" applyProtection="0">
      <alignment vertical="center"/>
    </xf>
    <xf numFmtId="0" fontId="32" fillId="10" borderId="0" applyNumberFormat="0" applyBorder="0" applyAlignment="0" applyProtection="0">
      <alignment vertical="center"/>
    </xf>
    <xf numFmtId="0" fontId="33" fillId="11" borderId="0" applyNumberFormat="0" applyBorder="0" applyAlignment="0" applyProtection="0">
      <alignment vertical="center"/>
    </xf>
    <xf numFmtId="0" fontId="34" fillId="12" borderId="0" applyNumberFormat="0" applyBorder="0" applyAlignment="0" applyProtection="0">
      <alignment vertical="center"/>
    </xf>
    <xf numFmtId="0" fontId="34" fillId="13" borderId="0" applyNumberFormat="0" applyBorder="0" applyAlignment="0" applyProtection="0">
      <alignment vertical="center"/>
    </xf>
    <xf numFmtId="0" fontId="33" fillId="14" borderId="0" applyNumberFormat="0" applyBorder="0" applyAlignment="0" applyProtection="0">
      <alignment vertical="center"/>
    </xf>
    <xf numFmtId="0" fontId="33"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3" fillId="18" borderId="0" applyNumberFormat="0" applyBorder="0" applyAlignment="0" applyProtection="0">
      <alignment vertical="center"/>
    </xf>
    <xf numFmtId="0" fontId="33"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3" fillId="22" borderId="0" applyNumberFormat="0" applyBorder="0" applyAlignment="0" applyProtection="0">
      <alignment vertical="center"/>
    </xf>
    <xf numFmtId="0" fontId="33"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3" fillId="26" borderId="0" applyNumberFormat="0" applyBorder="0" applyAlignment="0" applyProtection="0">
      <alignment vertical="center"/>
    </xf>
    <xf numFmtId="0" fontId="33"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3" fillId="30" borderId="0" applyNumberFormat="0" applyBorder="0" applyAlignment="0" applyProtection="0">
      <alignment vertical="center"/>
    </xf>
    <xf numFmtId="0" fontId="33"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3" fillId="34" borderId="0" applyNumberFormat="0" applyBorder="0" applyAlignment="0" applyProtection="0">
      <alignment vertical="center"/>
    </xf>
  </cellStyleXfs>
  <cellXfs count="64">
    <xf numFmtId="0" fontId="0" fillId="0" borderId="0" xfId="0" applyBorder="1"/>
    <xf numFmtId="0" fontId="0" fillId="0" borderId="0" xfId="0" applyBorder="1" applyAlignment="1">
      <alignment horizontal="center"/>
    </xf>
    <xf numFmtId="0" fontId="1" fillId="2" borderId="1" xfId="0" applyFont="1" applyFill="1" applyBorder="1" applyAlignment="1">
      <alignment horizontal="center" vertical="center" wrapText="1"/>
    </xf>
    <xf numFmtId="0" fontId="0" fillId="0" borderId="2" xfId="0" applyBorder="1"/>
    <xf numFmtId="0" fontId="0" fillId="0" borderId="2" xfId="0" applyBorder="1" applyAlignment="1">
      <alignment horizontal="center"/>
    </xf>
    <xf numFmtId="0" fontId="0" fillId="0" borderId="3" xfId="0" applyBorder="1"/>
    <xf numFmtId="0" fontId="2" fillId="0" borderId="0" xfId="0" applyFont="1" applyBorder="1" applyAlignment="1">
      <alignment horizontal="center" vertical="center"/>
    </xf>
    <xf numFmtId="0" fontId="3" fillId="2" borderId="1"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5" fillId="3" borderId="4" xfId="0" applyFont="1" applyFill="1" applyBorder="1" applyAlignment="1">
      <alignment horizontal="center" vertical="center" wrapText="1"/>
    </xf>
    <xf numFmtId="0" fontId="2" fillId="0" borderId="5" xfId="0" applyFont="1" applyBorder="1" applyAlignment="1">
      <alignment horizontal="center" vertical="center"/>
    </xf>
    <xf numFmtId="0" fontId="2" fillId="0" borderId="6" xfId="0" applyFont="1" applyBorder="1" applyAlignment="1">
      <alignment horizontal="left" vertical="center"/>
    </xf>
    <xf numFmtId="0" fontId="0" fillId="0" borderId="6" xfId="0" applyBorder="1"/>
    <xf numFmtId="2" fontId="2" fillId="0" borderId="6" xfId="0" applyNumberFormat="1" applyFont="1" applyBorder="1" applyAlignment="1">
      <alignment horizontal="center" vertical="center"/>
    </xf>
    <xf numFmtId="2" fontId="2" fillId="0" borderId="5" xfId="0" applyNumberFormat="1" applyFont="1" applyBorder="1" applyAlignment="1">
      <alignment horizontal="center" vertical="center"/>
    </xf>
    <xf numFmtId="0" fontId="2" fillId="0" borderId="7" xfId="0" applyFont="1" applyBorder="1" applyAlignment="1">
      <alignment horizontal="center" vertical="center"/>
    </xf>
    <xf numFmtId="0" fontId="2" fillId="0" borderId="8" xfId="0" applyFont="1" applyBorder="1" applyAlignment="1">
      <alignment horizontal="left" vertical="center"/>
    </xf>
    <xf numFmtId="0" fontId="0" fillId="0" borderId="9" xfId="0" applyBorder="1"/>
    <xf numFmtId="0" fontId="0" fillId="0" borderId="9" xfId="0" applyBorder="1" applyAlignment="1">
      <alignment horizontal="center"/>
    </xf>
    <xf numFmtId="0" fontId="0" fillId="0" borderId="8" xfId="0" applyBorder="1"/>
    <xf numFmtId="2" fontId="2" fillId="0" borderId="7" xfId="0" applyNumberFormat="1" applyFont="1" applyBorder="1" applyAlignment="1">
      <alignment horizontal="center" vertical="center"/>
    </xf>
    <xf numFmtId="0" fontId="0" fillId="0" borderId="1" xfId="0" applyBorder="1" applyAlignment="1">
      <alignment horizontal="center" vertical="center"/>
    </xf>
    <xf numFmtId="0" fontId="0" fillId="0" borderId="0" xfId="0" applyBorder="1" applyAlignment="1">
      <alignment horizontal="center" vertical="center"/>
    </xf>
    <xf numFmtId="0" fontId="4" fillId="2" borderId="1" xfId="0" applyFont="1" applyFill="1" applyBorder="1" applyAlignment="1">
      <alignment horizontal="center" vertical="center" wrapText="1"/>
    </xf>
    <xf numFmtId="0" fontId="2" fillId="0" borderId="10" xfId="0" applyFont="1" applyBorder="1" applyAlignment="1">
      <alignment horizontal="left" vertical="center"/>
    </xf>
    <xf numFmtId="0" fontId="4" fillId="0" borderId="0" xfId="0" applyFont="1" applyBorder="1" applyAlignment="1">
      <alignment horizontal="center" vertical="center" wrapText="1"/>
    </xf>
    <xf numFmtId="0" fontId="5" fillId="0" borderId="0" xfId="0" applyFont="1" applyBorder="1" applyAlignment="1">
      <alignment horizontal="center" vertical="center" wrapText="1"/>
    </xf>
    <xf numFmtId="2" fontId="0" fillId="0" borderId="0" xfId="0" applyNumberFormat="1" applyBorder="1"/>
    <xf numFmtId="0" fontId="6" fillId="0" borderId="0" xfId="0" applyFont="1" applyBorder="1" applyAlignment="1">
      <alignment horizontal="center" vertical="center" wrapText="1"/>
    </xf>
    <xf numFmtId="0" fontId="7" fillId="0" borderId="0" xfId="0" applyFont="1" applyBorder="1" applyAlignment="1">
      <alignment horizontal="center" vertical="center" wrapText="1"/>
    </xf>
    <xf numFmtId="2" fontId="6" fillId="0" borderId="0" xfId="0" applyNumberFormat="1" applyFont="1" applyBorder="1" applyAlignment="1">
      <alignment horizontal="center" vertical="center"/>
    </xf>
    <xf numFmtId="0" fontId="8" fillId="0" borderId="5" xfId="0" applyFont="1" applyFill="1" applyBorder="1" applyAlignment="1">
      <alignment horizontal="center" vertical="center"/>
    </xf>
    <xf numFmtId="0" fontId="9" fillId="0" borderId="6" xfId="0" applyFont="1" applyFill="1" applyBorder="1" applyAlignment="1">
      <alignment horizontal="left" vertical="center" wrapText="1"/>
    </xf>
    <xf numFmtId="0" fontId="10" fillId="0" borderId="11" xfId="0" applyFont="1" applyFill="1" applyBorder="1" applyAlignment="1" applyProtection="1">
      <alignment horizontal="center" vertical="center"/>
    </xf>
    <xf numFmtId="0" fontId="11" fillId="0" borderId="6" xfId="0" applyFont="1" applyFill="1" applyBorder="1" applyAlignment="1">
      <alignment horizontal="center" vertical="center" wrapText="1"/>
    </xf>
    <xf numFmtId="0" fontId="11" fillId="0" borderId="6" xfId="0" applyFont="1" applyFill="1" applyBorder="1" applyAlignment="1">
      <alignment horizontal="left" vertical="center" wrapText="1"/>
    </xf>
    <xf numFmtId="0" fontId="8" fillId="0" borderId="6" xfId="0" applyFont="1" applyBorder="1" applyAlignment="1">
      <alignment horizontal="left" vertical="center"/>
    </xf>
    <xf numFmtId="0" fontId="11" fillId="0" borderId="5" xfId="0" applyFont="1" applyFill="1" applyBorder="1" applyAlignment="1">
      <alignment horizontal="center" vertical="center"/>
    </xf>
    <xf numFmtId="0" fontId="8" fillId="0" borderId="6" xfId="0" applyFont="1" applyFill="1" applyBorder="1" applyAlignment="1">
      <alignment horizontal="left" vertical="center" wrapText="1"/>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8" fillId="0" borderId="6" xfId="0" applyFont="1" applyFill="1" applyBorder="1" applyAlignment="1">
      <alignment horizontal="center" vertical="center" wrapText="1"/>
    </xf>
    <xf numFmtId="0" fontId="12" fillId="0" borderId="6" xfId="0" applyFont="1" applyFill="1" applyBorder="1" applyAlignment="1">
      <alignment horizontal="left" vertical="center" wrapText="1"/>
    </xf>
    <xf numFmtId="0" fontId="11" fillId="0" borderId="6" xfId="0" applyFont="1" applyFill="1" applyBorder="1" applyAlignment="1">
      <alignment horizontal="left" vertical="center"/>
    </xf>
    <xf numFmtId="0" fontId="8" fillId="0" borderId="10" xfId="0" applyFont="1" applyFill="1" applyBorder="1" applyAlignment="1">
      <alignment horizontal="center" vertical="center"/>
    </xf>
    <xf numFmtId="2" fontId="11" fillId="0" borderId="6" xfId="0" applyNumberFormat="1" applyFont="1" applyFill="1" applyBorder="1" applyAlignment="1">
      <alignment horizontal="center" vertical="center"/>
    </xf>
    <xf numFmtId="0" fontId="8" fillId="0" borderId="6" xfId="0" applyFont="1" applyBorder="1" applyAlignment="1">
      <alignment horizontal="fill" vertical="center"/>
    </xf>
    <xf numFmtId="0" fontId="10" fillId="0" borderId="12" xfId="0" applyFont="1" applyFill="1" applyBorder="1" applyAlignment="1" applyProtection="1">
      <alignment horizontal="left" vertical="center"/>
    </xf>
    <xf numFmtId="0" fontId="10" fillId="0" borderId="12" xfId="0" applyFont="1" applyFill="1" applyBorder="1" applyAlignment="1" applyProtection="1">
      <alignment horizontal="left" vertical="center" wrapText="1"/>
    </xf>
    <xf numFmtId="0" fontId="10" fillId="0" borderId="11" xfId="0" applyFont="1" applyFill="1" applyBorder="1" applyAlignment="1" applyProtection="1">
      <alignment horizontal="center" vertical="center" wrapText="1"/>
    </xf>
    <xf numFmtId="2" fontId="10" fillId="0" borderId="12" xfId="0" applyNumberFormat="1" applyFont="1" applyFill="1" applyBorder="1" applyAlignment="1" applyProtection="1">
      <alignment horizontal="center" vertical="center"/>
    </xf>
    <xf numFmtId="49" fontId="13" fillId="0" borderId="0" xfId="0" applyNumberFormat="1" applyFont="1" applyFill="1" applyAlignment="1" applyProtection="1">
      <alignment horizontal="left" wrapText="1"/>
    </xf>
    <xf numFmtId="0" fontId="13" fillId="0" borderId="0" xfId="0" applyFont="1" applyFill="1" applyAlignment="1" applyProtection="1">
      <alignment wrapText="1"/>
    </xf>
    <xf numFmtId="0" fontId="2" fillId="0" borderId="6" xfId="0" applyFont="1" applyBorder="1" applyAlignment="1">
      <alignment horizontal="center" vertical="center"/>
    </xf>
    <xf numFmtId="0" fontId="2" fillId="0" borderId="6" xfId="0" applyFont="1" applyBorder="1" applyAlignment="1">
      <alignment horizontal="fill" vertical="center"/>
    </xf>
    <xf numFmtId="0" fontId="2" fillId="0" borderId="6" xfId="0" applyNumberFormat="1" applyFont="1" applyBorder="1" applyAlignment="1">
      <alignment vertical="center" wrapText="1"/>
    </xf>
    <xf numFmtId="2" fontId="2" fillId="0" borderId="6" xfId="0" applyNumberFormat="1" applyFont="1" applyFill="1" applyBorder="1" applyAlignment="1">
      <alignment horizontal="center" vertical="center"/>
    </xf>
    <xf numFmtId="0" fontId="2" fillId="0" borderId="6" xfId="0" applyNumberFormat="1" applyFont="1" applyBorder="1" applyAlignment="1">
      <alignment vertical="top" wrapText="1"/>
    </xf>
    <xf numFmtId="0" fontId="14" fillId="0" borderId="0" xfId="0" applyFont="1" applyBorder="1"/>
    <xf numFmtId="0" fontId="2" fillId="0" borderId="6" xfId="0" applyFont="1" applyBorder="1" applyAlignment="1">
      <alignment horizontal="left" vertical="center" wrapText="1"/>
    </xf>
    <xf numFmtId="0" fontId="2" fillId="0" borderId="10" xfId="0" applyFont="1" applyBorder="1" applyAlignment="1">
      <alignment horizontal="center" vertical="center"/>
    </xf>
    <xf numFmtId="2" fontId="2" fillId="0" borderId="10" xfId="0" applyNumberFormat="1" applyFont="1" applyBorder="1" applyAlignment="1">
      <alignment horizontal="center" vertical="center"/>
    </xf>
    <xf numFmtId="0" fontId="2" fillId="0" borderId="8" xfId="0" applyFont="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78"/>
  <sheetViews>
    <sheetView tabSelected="1" zoomScale="55" zoomScaleNormal="55" workbookViewId="0">
      <selection activeCell="B23" sqref="B23:J23"/>
    </sheetView>
  </sheetViews>
  <sheetFormatPr defaultColWidth="8.83035714285714" defaultRowHeight="15.2"/>
  <cols>
    <col min="1" max="1" width="7.66071428571429" customWidth="1"/>
    <col min="2" max="2" width="39" customWidth="1"/>
    <col min="3" max="3" width="7.83035714285714" customWidth="1"/>
    <col min="4" max="4" width="8.5" style="1" customWidth="1"/>
    <col min="5" max="5" width="52.1607142857143" customWidth="1"/>
    <col min="6" max="6" width="8" customWidth="1"/>
    <col min="7" max="7" width="53.2678571428571" customWidth="1"/>
    <col min="8" max="8" width="15.5" customWidth="1"/>
    <col min="9" max="9" width="11.3303571428571" customWidth="1"/>
    <col min="10" max="10" width="11" customWidth="1"/>
    <col min="11" max="11" width="10.6607142857143" customWidth="1"/>
    <col min="12" max="12" width="18.5" customWidth="1"/>
    <col min="14" max="14" width="10.6607142857143" customWidth="1"/>
  </cols>
  <sheetData>
    <row r="1" ht="49" customHeight="1" spans="1:11">
      <c r="A1" s="2" t="s">
        <v>0</v>
      </c>
      <c r="B1" s="3"/>
      <c r="C1" s="3"/>
      <c r="D1" s="4"/>
      <c r="E1" s="3"/>
      <c r="F1" s="3"/>
      <c r="G1" s="3"/>
      <c r="H1" s="3"/>
      <c r="I1" s="3"/>
      <c r="J1" s="3"/>
      <c r="K1" s="5"/>
    </row>
    <row r="2" ht="36" customHeight="1" spans="1:11">
      <c r="C2" s="6"/>
      <c r="E2" s="6"/>
      <c r="J2" s="6"/>
    </row>
    <row r="3" ht="35" customHeight="1" spans="1:11">
      <c r="A3" s="7" t="s">
        <v>1</v>
      </c>
      <c r="B3" s="3"/>
      <c r="C3" s="3"/>
      <c r="D3" s="4"/>
      <c r="E3" s="3"/>
      <c r="F3" s="3"/>
      <c r="G3" s="3"/>
      <c r="H3" s="3"/>
      <c r="I3" s="3"/>
      <c r="J3" s="3"/>
      <c r="K3" s="5"/>
    </row>
    <row r="4" ht="35" customHeight="1" spans="1:11">
      <c r="A4" s="8" t="s">
        <v>2</v>
      </c>
      <c r="B4" s="9" t="s">
        <v>3</v>
      </c>
      <c r="C4" s="3"/>
      <c r="D4" s="4"/>
      <c r="E4" s="3"/>
      <c r="F4" s="3"/>
      <c r="G4" s="3"/>
      <c r="H4" s="5"/>
      <c r="I4" s="10" t="s">
        <v>3</v>
      </c>
      <c r="J4" s="10" t="s">
        <v>4</v>
      </c>
      <c r="K4" s="10" t="s">
        <v>5</v>
      </c>
    </row>
    <row r="5" ht="25" customHeight="1" spans="1:11">
      <c r="A5" s="11">
        <v>1</v>
      </c>
      <c r="B5" s="12" t="s">
        <v>6</v>
      </c>
      <c r="H5" s="13"/>
      <c r="I5" s="14">
        <v>8</v>
      </c>
      <c r="J5" s="15">
        <f>SUMIF(I29:I277,A5,K29:K277)</f>
        <v>0</v>
      </c>
      <c r="K5" s="15">
        <f t="shared" ref="K5:K11" si="0">ABS(I5-J5)</f>
        <v>8</v>
      </c>
    </row>
    <row r="6" ht="25" customHeight="1" spans="1:11">
      <c r="A6" s="11">
        <v>2</v>
      </c>
      <c r="B6" s="12" t="s">
        <v>7</v>
      </c>
      <c r="H6" s="13"/>
      <c r="I6" s="14">
        <v>7</v>
      </c>
      <c r="J6" s="15">
        <f>SUMIF(I30:I278,A6,K30:K278)</f>
        <v>2</v>
      </c>
      <c r="K6" s="15">
        <f t="shared" si="0"/>
        <v>5</v>
      </c>
    </row>
    <row r="7" ht="25" customHeight="1" spans="1:11">
      <c r="A7" s="11">
        <v>3</v>
      </c>
      <c r="B7" s="12" t="s">
        <v>8</v>
      </c>
      <c r="H7" s="13"/>
      <c r="I7" s="14">
        <v>5</v>
      </c>
      <c r="J7" s="15">
        <f>SUMIF(I31:I279,A7,K31:K279)</f>
        <v>0</v>
      </c>
      <c r="K7" s="15">
        <f t="shared" si="0"/>
        <v>5</v>
      </c>
    </row>
    <row r="8" ht="25" customHeight="1" spans="1:11">
      <c r="A8" s="11">
        <v>4</v>
      </c>
      <c r="B8" s="12" t="s">
        <v>9</v>
      </c>
      <c r="H8" s="13"/>
      <c r="I8" s="14">
        <v>25</v>
      </c>
      <c r="J8" s="15">
        <f>SUMIF(I32:I280,A8,K32:K280)</f>
        <v>0.8</v>
      </c>
      <c r="K8" s="15">
        <f t="shared" si="0"/>
        <v>24.2</v>
      </c>
    </row>
    <row r="9" ht="25" customHeight="1" spans="1:11">
      <c r="A9" s="11">
        <v>5</v>
      </c>
      <c r="B9" s="12" t="s">
        <v>10</v>
      </c>
      <c r="H9" s="13"/>
      <c r="I9" s="14">
        <v>15</v>
      </c>
      <c r="J9" s="15">
        <f>SUMIF(I32:I281,A9,K32:K281)</f>
        <v>3.1</v>
      </c>
      <c r="K9" s="15">
        <f t="shared" si="0"/>
        <v>11.9</v>
      </c>
    </row>
    <row r="10" ht="25" customHeight="1" spans="1:11">
      <c r="A10" s="11">
        <v>6</v>
      </c>
      <c r="B10" s="12" t="s">
        <v>11</v>
      </c>
      <c r="H10" s="13"/>
      <c r="I10" s="14">
        <v>30</v>
      </c>
      <c r="J10" s="15">
        <f>SUMIF(I32:I282,A10,K32:K282)</f>
        <v>18.6</v>
      </c>
      <c r="K10" s="15">
        <f t="shared" si="0"/>
        <v>11.4</v>
      </c>
    </row>
    <row r="11" ht="25" customHeight="1" spans="1:11">
      <c r="A11" s="16">
        <v>7</v>
      </c>
      <c r="B11" s="17" t="s">
        <v>12</v>
      </c>
      <c r="C11" s="18"/>
      <c r="D11" s="19"/>
      <c r="E11" s="18"/>
      <c r="F11" s="18"/>
      <c r="G11" s="18"/>
      <c r="H11" s="20"/>
      <c r="I11" s="21">
        <v>10</v>
      </c>
      <c r="J11" s="15">
        <f>SUMIF(I33:I283,A11,K33:K283)</f>
        <v>0.5</v>
      </c>
      <c r="K11" s="21">
        <f t="shared" si="0"/>
        <v>9.5</v>
      </c>
    </row>
    <row r="12" ht="25" customHeight="1" spans="1:11">
      <c r="C12" s="6"/>
      <c r="E12" s="6"/>
      <c r="I12" s="22" t="s">
        <v>13</v>
      </c>
      <c r="J12" s="5"/>
      <c r="K12" s="21">
        <f>SUM(K5:K11)</f>
        <v>75</v>
      </c>
    </row>
    <row r="13" spans="1:11">
      <c r="C13" s="6"/>
      <c r="E13" s="6"/>
      <c r="I13" s="23"/>
      <c r="J13" s="23"/>
    </row>
    <row r="14" ht="14" customHeight="1" spans="1:11">
      <c r="C14" s="6"/>
      <c r="E14" s="6"/>
      <c r="I14" s="23"/>
      <c r="J14" s="6"/>
    </row>
    <row r="15" ht="35" customHeight="1" spans="1:11">
      <c r="A15" s="7" t="s">
        <v>14</v>
      </c>
      <c r="B15" s="3"/>
      <c r="C15" s="3"/>
      <c r="D15" s="4"/>
      <c r="E15" s="3"/>
      <c r="F15" s="3"/>
      <c r="G15" s="3"/>
      <c r="H15" s="3"/>
      <c r="I15" s="3"/>
      <c r="J15" s="3"/>
      <c r="K15" s="5"/>
    </row>
    <row r="16" ht="35" customHeight="1" spans="1:11">
      <c r="A16" s="8" t="s">
        <v>15</v>
      </c>
      <c r="B16" s="24" t="s">
        <v>16</v>
      </c>
      <c r="C16" s="3"/>
      <c r="D16" s="4"/>
      <c r="E16" s="3"/>
      <c r="F16" s="3"/>
      <c r="G16" s="3"/>
      <c r="H16" s="3"/>
      <c r="I16" s="3"/>
      <c r="J16" s="5"/>
      <c r="K16" s="8" t="s">
        <v>17</v>
      </c>
    </row>
    <row r="17" ht="25" customHeight="1" spans="1:14">
      <c r="A17" s="11" t="s">
        <v>18</v>
      </c>
      <c r="B17" s="25" t="s">
        <v>19</v>
      </c>
      <c r="J17" s="13"/>
      <c r="K17" s="14">
        <v>25</v>
      </c>
    </row>
    <row r="18" ht="25" customHeight="1" spans="1:14">
      <c r="A18" s="11" t="s">
        <v>20</v>
      </c>
      <c r="B18" s="25" t="s">
        <v>21</v>
      </c>
      <c r="J18" s="13"/>
      <c r="K18" s="14">
        <v>25</v>
      </c>
    </row>
    <row r="19" ht="25" customHeight="1" spans="1:14">
      <c r="A19" s="11" t="s">
        <v>22</v>
      </c>
      <c r="B19" s="25" t="s">
        <v>23</v>
      </c>
      <c r="J19" s="13"/>
      <c r="K19" s="14">
        <v>25</v>
      </c>
    </row>
    <row r="20" ht="25" customHeight="1" spans="1:14">
      <c r="A20" s="11" t="s">
        <v>24</v>
      </c>
      <c r="B20" s="12" t="s">
        <v>25</v>
      </c>
      <c r="J20" s="13"/>
      <c r="K20" s="14">
        <v>25</v>
      </c>
    </row>
    <row r="21" ht="25" customHeight="1" spans="1:14">
      <c r="A21" s="11" t="s">
        <v>26</v>
      </c>
      <c r="B21" s="12"/>
      <c r="J21" s="13"/>
      <c r="K21" s="14"/>
    </row>
    <row r="22" ht="25" customHeight="1" spans="1:14">
      <c r="A22" s="11" t="s">
        <v>27</v>
      </c>
      <c r="B22" s="12"/>
      <c r="J22" s="13"/>
      <c r="K22" s="14"/>
    </row>
    <row r="23" ht="25" customHeight="1" spans="1:14">
      <c r="A23" s="11" t="s">
        <v>28</v>
      </c>
      <c r="B23" s="12"/>
      <c r="J23" s="13"/>
      <c r="K23" s="14"/>
    </row>
    <row r="24" ht="25" customHeight="1" spans="1:14">
      <c r="A24" s="11" t="s">
        <v>29</v>
      </c>
      <c r="B24" s="12"/>
      <c r="J24" s="13"/>
      <c r="K24" s="14"/>
    </row>
    <row r="25" ht="25" customHeight="1" spans="1:14">
      <c r="A25" s="16" t="s">
        <v>30</v>
      </c>
      <c r="B25" s="17"/>
      <c r="C25" s="18"/>
      <c r="D25" s="19"/>
      <c r="E25" s="18"/>
      <c r="F25" s="18"/>
      <c r="G25" s="18"/>
      <c r="H25" s="18"/>
      <c r="I25" s="18"/>
      <c r="J25" s="20"/>
      <c r="K25" s="21"/>
    </row>
    <row r="26" spans="1:14">
      <c r="F26" s="26"/>
      <c r="G26" s="27"/>
      <c r="H26" s="27"/>
      <c r="I26" s="27"/>
      <c r="J26" s="28"/>
    </row>
    <row r="27" ht="14" customHeight="1" spans="1:14">
      <c r="C27" s="28"/>
      <c r="H27" s="28"/>
      <c r="I27" s="28"/>
      <c r="J27" s="28"/>
    </row>
    <row r="28" ht="71" customHeight="1" spans="1:14">
      <c r="A28" s="24" t="s">
        <v>31</v>
      </c>
      <c r="B28" s="24" t="s">
        <v>32</v>
      </c>
      <c r="C28" s="24" t="s">
        <v>33</v>
      </c>
      <c r="D28" s="24" t="s">
        <v>34</v>
      </c>
      <c r="E28" s="24" t="s">
        <v>35</v>
      </c>
      <c r="F28" s="24" t="s">
        <v>36</v>
      </c>
      <c r="G28" s="24" t="s">
        <v>37</v>
      </c>
      <c r="H28" s="24" t="s">
        <v>38</v>
      </c>
      <c r="I28" s="24" t="s">
        <v>39</v>
      </c>
      <c r="J28" s="24" t="s">
        <v>40</v>
      </c>
      <c r="K28" s="24" t="s">
        <v>41</v>
      </c>
      <c r="L28" s="29" t="s">
        <v>42</v>
      </c>
      <c r="M28" s="30" t="s">
        <v>43</v>
      </c>
      <c r="N28" s="31">
        <f>SUM(K29:K102)</f>
        <v>25</v>
      </c>
    </row>
    <row r="29" ht="16" spans="1:14">
      <c r="A29" s="32" t="s">
        <v>44</v>
      </c>
      <c r="B29" s="33" t="s">
        <v>45</v>
      </c>
      <c r="C29" s="34" t="s">
        <v>46</v>
      </c>
      <c r="D29" s="35"/>
      <c r="E29" s="36"/>
      <c r="F29" s="36"/>
      <c r="G29" s="36"/>
      <c r="H29" s="37"/>
      <c r="I29" s="37"/>
      <c r="J29" s="37"/>
      <c r="K29" s="38"/>
    </row>
    <row r="30" ht="16" spans="1:14">
      <c r="A30" s="32"/>
      <c r="B30" s="39"/>
      <c r="C30" s="40"/>
      <c r="D30" s="35" t="s">
        <v>47</v>
      </c>
      <c r="E30" s="39" t="s">
        <v>48</v>
      </c>
      <c r="F30" s="39"/>
      <c r="G30" s="39" t="s">
        <v>49</v>
      </c>
      <c r="H30" s="37"/>
      <c r="I30" s="41"/>
      <c r="J30" s="37"/>
      <c r="K30" s="38">
        <v>0.3</v>
      </c>
    </row>
    <row r="31" ht="16" spans="1:14">
      <c r="A31" s="32"/>
      <c r="B31" s="36"/>
      <c r="C31" s="40"/>
      <c r="D31" s="35" t="s">
        <v>47</v>
      </c>
      <c r="E31" s="33" t="s">
        <v>50</v>
      </c>
      <c r="F31" s="36"/>
      <c r="G31" s="36"/>
      <c r="H31" s="37"/>
      <c r="I31" s="41"/>
      <c r="J31" s="37"/>
      <c r="K31" s="38">
        <v>0.3</v>
      </c>
    </row>
    <row r="32" ht="16" spans="1:14">
      <c r="A32" s="32"/>
      <c r="B32" s="36"/>
      <c r="C32" s="40"/>
      <c r="D32" s="35" t="s">
        <v>47</v>
      </c>
      <c r="E32" s="33" t="s">
        <v>51</v>
      </c>
      <c r="F32" s="36"/>
      <c r="G32" s="36"/>
      <c r="H32" s="37"/>
      <c r="I32" s="41"/>
      <c r="J32" s="37"/>
      <c r="K32" s="38">
        <v>0.3</v>
      </c>
    </row>
    <row r="33" ht="31" spans="1:11">
      <c r="A33" s="32"/>
      <c r="B33" s="39"/>
      <c r="C33" s="40"/>
      <c r="D33" s="35" t="s">
        <v>47</v>
      </c>
      <c r="E33" s="33" t="s">
        <v>52</v>
      </c>
      <c r="F33" s="39"/>
      <c r="G33" s="39"/>
      <c r="H33" s="37"/>
      <c r="I33" s="41"/>
      <c r="J33" s="37"/>
      <c r="K33" s="38">
        <v>0.3</v>
      </c>
    </row>
    <row r="34" spans="1:11">
      <c r="A34" s="32"/>
      <c r="B34" s="36"/>
      <c r="C34" s="40"/>
      <c r="D34" s="35"/>
      <c r="E34" s="36"/>
      <c r="F34" s="36"/>
      <c r="G34" s="36"/>
      <c r="H34" s="37"/>
      <c r="I34" s="41"/>
      <c r="J34" s="37"/>
      <c r="K34" s="38"/>
    </row>
    <row r="35" ht="16" spans="1:11">
      <c r="A35" s="32" t="s">
        <v>53</v>
      </c>
      <c r="B35" s="33" t="s">
        <v>54</v>
      </c>
      <c r="C35" s="34" t="s">
        <v>46</v>
      </c>
      <c r="D35" s="35"/>
      <c r="E35" s="36"/>
      <c r="F35" s="36"/>
      <c r="G35" s="36"/>
      <c r="H35" s="37"/>
      <c r="I35" s="41"/>
      <c r="J35" s="37"/>
      <c r="K35" s="38"/>
    </row>
    <row r="36" ht="16" spans="1:11">
      <c r="A36" s="32"/>
      <c r="B36" s="39"/>
      <c r="C36" s="40"/>
      <c r="D36" s="35" t="s">
        <v>47</v>
      </c>
      <c r="E36" s="36" t="s">
        <v>48</v>
      </c>
      <c r="F36" s="39"/>
      <c r="G36" s="39" t="s">
        <v>49</v>
      </c>
      <c r="H36" s="37"/>
      <c r="I36" s="41"/>
      <c r="J36" s="37"/>
      <c r="K36" s="38">
        <v>0.5</v>
      </c>
    </row>
    <row r="37" ht="16" spans="1:11">
      <c r="A37" s="32"/>
      <c r="B37" s="36"/>
      <c r="C37" s="40"/>
      <c r="D37" s="35" t="s">
        <v>47</v>
      </c>
      <c r="E37" s="33" t="s">
        <v>55</v>
      </c>
      <c r="F37" s="36"/>
      <c r="G37" s="36"/>
      <c r="H37" s="37"/>
      <c r="I37" s="41"/>
      <c r="J37" s="37"/>
      <c r="K37" s="38">
        <v>0.3</v>
      </c>
    </row>
    <row r="38" ht="31" spans="1:11">
      <c r="A38" s="32"/>
      <c r="B38" s="36"/>
      <c r="C38" s="40"/>
      <c r="D38" s="35" t="s">
        <v>47</v>
      </c>
      <c r="E38" s="39" t="s">
        <v>56</v>
      </c>
      <c r="F38" s="36"/>
      <c r="G38" s="36"/>
      <c r="H38" s="37"/>
      <c r="I38" s="41"/>
      <c r="J38" s="37"/>
      <c r="K38" s="38">
        <v>0.3</v>
      </c>
    </row>
    <row r="39" ht="31" spans="1:11">
      <c r="A39" s="32"/>
      <c r="B39" s="39"/>
      <c r="C39" s="40"/>
      <c r="D39" s="35" t="s">
        <v>47</v>
      </c>
      <c r="E39" s="39" t="s">
        <v>57</v>
      </c>
      <c r="F39" s="39"/>
      <c r="G39" s="39"/>
      <c r="H39" s="37"/>
      <c r="I39" s="41"/>
      <c r="J39" s="37"/>
      <c r="K39" s="38">
        <v>0.3</v>
      </c>
    </row>
    <row r="40" ht="46" spans="1:11">
      <c r="A40" s="32"/>
      <c r="B40" s="36"/>
      <c r="C40" s="40"/>
      <c r="D40" s="35" t="s">
        <v>47</v>
      </c>
      <c r="E40" s="39" t="s">
        <v>58</v>
      </c>
      <c r="F40" s="36"/>
      <c r="G40" s="36"/>
      <c r="H40" s="37"/>
      <c r="I40" s="41"/>
      <c r="J40" s="37"/>
      <c r="K40" s="38">
        <v>0.3</v>
      </c>
    </row>
    <row r="41" ht="16" spans="1:11">
      <c r="A41" s="32"/>
      <c r="B41" s="36"/>
      <c r="C41" s="40"/>
      <c r="D41" s="35" t="s">
        <v>47</v>
      </c>
      <c r="E41" s="39" t="s">
        <v>59</v>
      </c>
      <c r="F41" s="36"/>
      <c r="G41" s="36"/>
      <c r="H41" s="37"/>
      <c r="I41" s="41"/>
      <c r="J41" s="37"/>
      <c r="K41" s="38">
        <v>0.3</v>
      </c>
    </row>
    <row r="42" spans="1:11">
      <c r="A42" s="32"/>
      <c r="B42" s="39"/>
      <c r="C42" s="40"/>
      <c r="D42" s="42"/>
      <c r="E42" s="36"/>
      <c r="F42" s="39"/>
      <c r="G42" s="39"/>
      <c r="H42" s="37"/>
      <c r="I42" s="41"/>
      <c r="J42" s="37"/>
      <c r="K42" s="38"/>
    </row>
    <row r="43" ht="16" spans="1:11">
      <c r="A43" s="32" t="s">
        <v>60</v>
      </c>
      <c r="B43" s="39" t="s">
        <v>61</v>
      </c>
      <c r="C43" s="34" t="s">
        <v>46</v>
      </c>
      <c r="D43" s="35"/>
      <c r="E43" s="36"/>
      <c r="F43" s="36"/>
      <c r="G43" s="36"/>
      <c r="H43" s="37"/>
      <c r="I43" s="41"/>
      <c r="J43" s="37"/>
      <c r="K43" s="38"/>
    </row>
    <row r="44" ht="16" spans="1:11">
      <c r="A44" s="32"/>
      <c r="B44" s="36"/>
      <c r="C44" s="40"/>
      <c r="D44" s="35" t="s">
        <v>47</v>
      </c>
      <c r="E44" s="36" t="s">
        <v>48</v>
      </c>
      <c r="F44" s="36"/>
      <c r="G44" s="36" t="s">
        <v>49</v>
      </c>
      <c r="H44" s="37"/>
      <c r="I44" s="41"/>
      <c r="J44" s="37"/>
      <c r="K44" s="38">
        <v>0.8</v>
      </c>
    </row>
    <row r="45" ht="31" spans="1:11">
      <c r="A45" s="32"/>
      <c r="B45" s="39"/>
      <c r="C45" s="40"/>
      <c r="D45" s="35" t="s">
        <v>47</v>
      </c>
      <c r="E45" s="39" t="s">
        <v>62</v>
      </c>
      <c r="F45" s="39"/>
      <c r="G45" s="39"/>
      <c r="H45" s="37"/>
      <c r="I45" s="41"/>
      <c r="J45" s="37"/>
      <c r="K45" s="38">
        <v>0.3</v>
      </c>
    </row>
    <row r="46" ht="31" spans="1:11">
      <c r="A46" s="32"/>
      <c r="B46" s="36"/>
      <c r="C46" s="40"/>
      <c r="D46" s="35" t="s">
        <v>47</v>
      </c>
      <c r="E46" s="39" t="s">
        <v>63</v>
      </c>
      <c r="F46" s="36"/>
      <c r="G46" s="36"/>
      <c r="H46" s="37"/>
      <c r="I46" s="41"/>
      <c r="J46" s="37"/>
      <c r="K46" s="38">
        <v>0.3</v>
      </c>
    </row>
    <row r="47" ht="31" spans="1:11">
      <c r="A47" s="32"/>
      <c r="B47" s="36"/>
      <c r="C47" s="40"/>
      <c r="D47" s="35" t="s">
        <v>47</v>
      </c>
      <c r="E47" s="39" t="s">
        <v>64</v>
      </c>
      <c r="F47" s="36"/>
      <c r="G47" s="36"/>
      <c r="H47" s="37"/>
      <c r="I47" s="41"/>
      <c r="J47" s="37"/>
      <c r="K47" s="38">
        <v>0.3</v>
      </c>
    </row>
    <row r="48" ht="31" spans="1:11">
      <c r="A48" s="32"/>
      <c r="B48" s="39"/>
      <c r="C48" s="40"/>
      <c r="D48" s="35" t="s">
        <v>47</v>
      </c>
      <c r="E48" s="39" t="s">
        <v>65</v>
      </c>
      <c r="F48" s="39"/>
      <c r="G48" s="39"/>
      <c r="H48" s="37"/>
      <c r="I48" s="41"/>
      <c r="J48" s="37"/>
      <c r="K48" s="38">
        <v>0.3</v>
      </c>
    </row>
    <row r="49" ht="61" spans="1:11">
      <c r="A49" s="32"/>
      <c r="B49" s="36"/>
      <c r="C49" s="40"/>
      <c r="D49" s="35" t="s">
        <v>47</v>
      </c>
      <c r="E49" s="39" t="s">
        <v>66</v>
      </c>
      <c r="F49" s="36"/>
      <c r="G49" s="36"/>
      <c r="H49" s="37"/>
      <c r="I49" s="41"/>
      <c r="J49" s="37"/>
      <c r="K49" s="38">
        <v>0.3</v>
      </c>
    </row>
    <row r="50" spans="1:11">
      <c r="A50" s="32"/>
      <c r="B50" s="36"/>
      <c r="C50" s="40"/>
      <c r="D50" s="35"/>
      <c r="E50" s="36"/>
      <c r="F50" s="36"/>
      <c r="G50" s="36"/>
      <c r="H50" s="37"/>
      <c r="I50" s="41"/>
      <c r="J50" s="37"/>
      <c r="K50" s="38"/>
    </row>
    <row r="51" ht="16" spans="1:11">
      <c r="A51" s="32" t="s">
        <v>67</v>
      </c>
      <c r="B51" s="33" t="s">
        <v>68</v>
      </c>
      <c r="C51" s="34" t="s">
        <v>46</v>
      </c>
      <c r="D51" s="42"/>
      <c r="E51" s="36"/>
      <c r="F51" s="39"/>
      <c r="G51" s="39"/>
      <c r="H51" s="37"/>
      <c r="I51" s="41"/>
      <c r="J51" s="37"/>
      <c r="K51" s="38"/>
    </row>
    <row r="52" ht="16" spans="1:11">
      <c r="A52" s="32"/>
      <c r="B52" s="39"/>
      <c r="C52" s="40"/>
      <c r="D52" s="35" t="s">
        <v>47</v>
      </c>
      <c r="E52" s="36" t="s">
        <v>48</v>
      </c>
      <c r="F52" s="36"/>
      <c r="G52" s="36" t="s">
        <v>49</v>
      </c>
      <c r="H52" s="37"/>
      <c r="I52" s="41"/>
      <c r="J52" s="37"/>
      <c r="K52" s="38">
        <v>0.7</v>
      </c>
    </row>
    <row r="53" ht="46" spans="1:11">
      <c r="A53" s="32"/>
      <c r="B53" s="36"/>
      <c r="C53" s="40"/>
      <c r="D53" s="35" t="s">
        <v>47</v>
      </c>
      <c r="E53" s="39" t="s">
        <v>69</v>
      </c>
      <c r="F53" s="36"/>
      <c r="G53" s="36"/>
      <c r="H53" s="37"/>
      <c r="I53" s="41"/>
      <c r="J53" s="37"/>
      <c r="K53" s="38">
        <v>0.3</v>
      </c>
    </row>
    <row r="54" spans="1:11">
      <c r="A54" s="32"/>
      <c r="B54" s="39"/>
      <c r="C54" s="40"/>
      <c r="D54" s="42"/>
      <c r="E54" s="36"/>
      <c r="F54" s="39"/>
      <c r="G54" s="39"/>
      <c r="H54" s="37"/>
      <c r="I54" s="41"/>
      <c r="J54" s="37"/>
      <c r="K54" s="38"/>
    </row>
    <row r="55" ht="16" spans="1:11">
      <c r="A55" s="32" t="s">
        <v>70</v>
      </c>
      <c r="B55" s="33" t="s">
        <v>71</v>
      </c>
      <c r="C55" s="34" t="s">
        <v>46</v>
      </c>
      <c r="D55" s="35"/>
      <c r="E55" s="36"/>
      <c r="F55" s="36"/>
      <c r="G55" s="36"/>
      <c r="H55" s="37"/>
      <c r="I55" s="41"/>
      <c r="J55" s="37"/>
      <c r="K55" s="38"/>
    </row>
    <row r="56" ht="16" spans="1:11">
      <c r="A56" s="32"/>
      <c r="B56" s="36"/>
      <c r="C56" s="40"/>
      <c r="D56" s="35" t="s">
        <v>47</v>
      </c>
      <c r="E56" s="36" t="s">
        <v>48</v>
      </c>
      <c r="F56" s="36"/>
      <c r="G56" s="36" t="s">
        <v>49</v>
      </c>
      <c r="H56" s="37"/>
      <c r="I56" s="41"/>
      <c r="J56" s="37"/>
      <c r="K56" s="38">
        <v>0.7</v>
      </c>
    </row>
    <row r="57" ht="31" spans="1:11">
      <c r="A57" s="32"/>
      <c r="B57" s="39"/>
      <c r="C57" s="40"/>
      <c r="D57" s="35" t="s">
        <v>47</v>
      </c>
      <c r="E57" s="33" t="s">
        <v>72</v>
      </c>
      <c r="F57" s="39"/>
      <c r="G57" s="39"/>
      <c r="H57" s="37"/>
      <c r="I57" s="41"/>
      <c r="J57" s="37"/>
      <c r="K57" s="38">
        <v>0.3</v>
      </c>
    </row>
    <row r="58" ht="31" spans="1:11">
      <c r="A58" s="32"/>
      <c r="B58" s="36"/>
      <c r="C58" s="40"/>
      <c r="D58" s="35" t="s">
        <v>47</v>
      </c>
      <c r="E58" s="39" t="s">
        <v>73</v>
      </c>
      <c r="F58" s="36"/>
      <c r="G58" s="36"/>
      <c r="H58" s="37"/>
      <c r="I58" s="41"/>
      <c r="J58" s="37"/>
      <c r="K58" s="38">
        <v>0.3</v>
      </c>
    </row>
    <row r="59" ht="122" spans="1:11">
      <c r="A59" s="32"/>
      <c r="B59" s="36"/>
      <c r="C59" s="40"/>
      <c r="D59" s="35" t="s">
        <v>47</v>
      </c>
      <c r="E59" s="39" t="s">
        <v>74</v>
      </c>
      <c r="F59" s="36"/>
      <c r="G59" s="39" t="s">
        <v>75</v>
      </c>
      <c r="H59" s="37"/>
      <c r="I59" s="41"/>
      <c r="J59" s="37"/>
      <c r="K59" s="38">
        <v>1.2</v>
      </c>
    </row>
    <row r="60" ht="46" spans="1:11">
      <c r="A60" s="32"/>
      <c r="B60" s="39"/>
      <c r="C60" s="40"/>
      <c r="D60" s="35" t="s">
        <v>47</v>
      </c>
      <c r="E60" s="39" t="s">
        <v>76</v>
      </c>
      <c r="F60" s="39"/>
      <c r="G60" s="39" t="s">
        <v>49</v>
      </c>
      <c r="H60" s="37"/>
      <c r="I60" s="41"/>
      <c r="J60" s="37"/>
      <c r="K60" s="38">
        <v>0.4</v>
      </c>
    </row>
    <row r="61" ht="107" spans="1:11">
      <c r="A61" s="32"/>
      <c r="B61" s="36"/>
      <c r="C61" s="40"/>
      <c r="D61" s="35" t="s">
        <v>47</v>
      </c>
      <c r="E61" s="39" t="s">
        <v>77</v>
      </c>
      <c r="F61" s="36"/>
      <c r="G61" s="39" t="s">
        <v>78</v>
      </c>
      <c r="H61" s="37"/>
      <c r="I61" s="41"/>
      <c r="J61" s="37"/>
      <c r="K61" s="38">
        <v>1.2</v>
      </c>
    </row>
    <row r="62" spans="1:11">
      <c r="A62" s="32"/>
      <c r="B62" s="36"/>
      <c r="C62" s="40"/>
      <c r="D62" s="35"/>
      <c r="E62" s="36"/>
      <c r="F62" s="36"/>
      <c r="G62" s="36"/>
      <c r="H62" s="37"/>
      <c r="I62" s="41"/>
      <c r="J62" s="37"/>
      <c r="K62" s="38"/>
    </row>
    <row r="63" ht="16" spans="1:11">
      <c r="A63" s="32" t="s">
        <v>79</v>
      </c>
      <c r="B63" s="39" t="s">
        <v>80</v>
      </c>
      <c r="C63" s="34" t="s">
        <v>46</v>
      </c>
      <c r="D63" s="42"/>
      <c r="E63" s="36"/>
      <c r="F63" s="39"/>
      <c r="G63" s="39"/>
      <c r="H63" s="37"/>
      <c r="I63" s="41"/>
      <c r="J63" s="37"/>
      <c r="K63" s="38"/>
    </row>
    <row r="64" ht="16" spans="1:11">
      <c r="A64" s="32"/>
      <c r="B64" s="36"/>
      <c r="C64" s="40"/>
      <c r="D64" s="35" t="s">
        <v>47</v>
      </c>
      <c r="E64" s="36" t="s">
        <v>48</v>
      </c>
      <c r="F64" s="36"/>
      <c r="G64" s="36" t="s">
        <v>49</v>
      </c>
      <c r="H64" s="37"/>
      <c r="I64" s="41"/>
      <c r="J64" s="37"/>
      <c r="K64" s="38">
        <v>0.8</v>
      </c>
    </row>
    <row r="65" ht="61" spans="1:11">
      <c r="A65" s="32"/>
      <c r="B65" s="36"/>
      <c r="C65" s="40"/>
      <c r="D65" s="35" t="s">
        <v>47</v>
      </c>
      <c r="E65" s="39" t="s">
        <v>81</v>
      </c>
      <c r="F65" s="36"/>
      <c r="G65" s="39" t="s">
        <v>82</v>
      </c>
      <c r="H65" s="37"/>
      <c r="I65" s="41"/>
      <c r="J65" s="37"/>
      <c r="K65" s="38">
        <v>0.9</v>
      </c>
    </row>
    <row r="66" ht="61" spans="1:11">
      <c r="A66" s="32"/>
      <c r="B66" s="39"/>
      <c r="C66" s="40"/>
      <c r="D66" s="35" t="s">
        <v>47</v>
      </c>
      <c r="E66" s="39" t="s">
        <v>83</v>
      </c>
      <c r="F66" s="39"/>
      <c r="G66" s="39" t="s">
        <v>84</v>
      </c>
      <c r="H66" s="37"/>
      <c r="I66" s="41"/>
      <c r="J66" s="37"/>
      <c r="K66" s="38">
        <v>0.9</v>
      </c>
    </row>
    <row r="67" ht="31" spans="1:11">
      <c r="A67" s="32"/>
      <c r="B67" s="36"/>
      <c r="C67" s="40"/>
      <c r="D67" s="35" t="s">
        <v>47</v>
      </c>
      <c r="E67" s="39" t="s">
        <v>85</v>
      </c>
      <c r="F67" s="36"/>
      <c r="G67" s="36"/>
      <c r="H67" s="37"/>
      <c r="I67" s="41"/>
      <c r="J67" s="37"/>
      <c r="K67" s="38">
        <v>0.3</v>
      </c>
    </row>
    <row r="68" spans="1:11">
      <c r="A68" s="32"/>
      <c r="B68" s="36"/>
      <c r="C68" s="40"/>
      <c r="D68" s="35"/>
      <c r="E68" s="36"/>
      <c r="F68" s="36"/>
      <c r="G68" s="36"/>
      <c r="H68" s="37"/>
      <c r="I68" s="41"/>
      <c r="J68" s="37"/>
      <c r="K68" s="38"/>
    </row>
    <row r="69" ht="16" spans="1:11">
      <c r="A69" s="32" t="s">
        <v>86</v>
      </c>
      <c r="B69" s="39" t="s">
        <v>87</v>
      </c>
      <c r="C69" s="34" t="s">
        <v>46</v>
      </c>
      <c r="D69" s="42"/>
      <c r="E69" s="36"/>
      <c r="F69" s="39"/>
      <c r="G69" s="39"/>
      <c r="H69" s="37"/>
      <c r="I69" s="41"/>
      <c r="J69" s="37"/>
      <c r="K69" s="38"/>
    </row>
    <row r="70" ht="16" spans="1:11">
      <c r="A70" s="32"/>
      <c r="B70" s="36"/>
      <c r="C70" s="40"/>
      <c r="D70" s="35" t="s">
        <v>47</v>
      </c>
      <c r="E70" s="36" t="s">
        <v>48</v>
      </c>
      <c r="F70" s="36"/>
      <c r="G70" s="36" t="s">
        <v>49</v>
      </c>
      <c r="H70" s="37"/>
      <c r="I70" s="41"/>
      <c r="J70" s="37"/>
      <c r="K70" s="38">
        <v>0.5</v>
      </c>
    </row>
    <row r="71" ht="31" spans="1:11">
      <c r="A71" s="32"/>
      <c r="B71" s="36"/>
      <c r="C71" s="40"/>
      <c r="D71" s="35" t="s">
        <v>47</v>
      </c>
      <c r="E71" s="33" t="s">
        <v>88</v>
      </c>
      <c r="F71" s="36"/>
      <c r="G71" s="36"/>
      <c r="H71" s="37"/>
      <c r="I71" s="41"/>
      <c r="J71" s="37"/>
      <c r="K71" s="38">
        <v>0.3</v>
      </c>
    </row>
    <row r="72" ht="61" spans="1:11">
      <c r="A72" s="32"/>
      <c r="B72" s="39"/>
      <c r="C72" s="40"/>
      <c r="D72" s="35" t="s">
        <v>47</v>
      </c>
      <c r="E72" s="39" t="s">
        <v>89</v>
      </c>
      <c r="F72" s="39"/>
      <c r="G72" s="39" t="s">
        <v>90</v>
      </c>
      <c r="H72" s="37"/>
      <c r="I72" s="41"/>
      <c r="J72" s="37"/>
      <c r="K72" s="38">
        <v>0.9</v>
      </c>
    </row>
    <row r="73" ht="76" spans="1:11">
      <c r="A73" s="32"/>
      <c r="B73" s="36"/>
      <c r="C73" s="40"/>
      <c r="D73" s="35" t="s">
        <v>47</v>
      </c>
      <c r="E73" s="39" t="s">
        <v>91</v>
      </c>
      <c r="F73" s="36"/>
      <c r="G73" s="39" t="s">
        <v>92</v>
      </c>
      <c r="H73" s="37"/>
      <c r="I73" s="41"/>
      <c r="J73" s="37"/>
      <c r="K73" s="38">
        <v>0.9</v>
      </c>
    </row>
    <row r="74" ht="31" spans="1:11">
      <c r="A74" s="32"/>
      <c r="B74" s="36"/>
      <c r="C74" s="40"/>
      <c r="D74" s="35" t="s">
        <v>47</v>
      </c>
      <c r="E74" s="39" t="s">
        <v>93</v>
      </c>
      <c r="F74" s="36"/>
      <c r="G74" s="36"/>
      <c r="H74" s="37"/>
      <c r="I74" s="41"/>
      <c r="J74" s="37"/>
      <c r="K74" s="38">
        <v>0.3</v>
      </c>
    </row>
    <row r="75" ht="92" spans="1:11">
      <c r="A75" s="32"/>
      <c r="B75" s="39"/>
      <c r="C75" s="40"/>
      <c r="D75" s="35" t="s">
        <v>47</v>
      </c>
      <c r="E75" s="39" t="s">
        <v>94</v>
      </c>
      <c r="F75" s="39"/>
      <c r="G75" s="39" t="s">
        <v>95</v>
      </c>
      <c r="H75" s="37"/>
      <c r="I75" s="41"/>
      <c r="J75" s="37"/>
      <c r="K75" s="38">
        <v>1.5</v>
      </c>
    </row>
    <row r="76" ht="31" spans="1:11">
      <c r="A76" s="32"/>
      <c r="B76" s="36"/>
      <c r="C76" s="40"/>
      <c r="D76" s="35" t="s">
        <v>47</v>
      </c>
      <c r="E76" s="39" t="s">
        <v>96</v>
      </c>
      <c r="F76" s="36"/>
      <c r="G76" s="36"/>
      <c r="H76" s="37"/>
      <c r="I76" s="41"/>
      <c r="J76" s="37"/>
      <c r="K76" s="38">
        <v>0.4</v>
      </c>
    </row>
    <row r="77" ht="16" spans="1:11">
      <c r="A77" s="32"/>
      <c r="B77" s="36"/>
      <c r="C77" s="40"/>
      <c r="D77" s="35" t="s">
        <v>47</v>
      </c>
      <c r="E77" s="36" t="s">
        <v>97</v>
      </c>
      <c r="F77" s="36"/>
      <c r="G77" s="36"/>
      <c r="H77" s="37"/>
      <c r="I77" s="41"/>
      <c r="J77" s="37"/>
      <c r="K77" s="38">
        <v>0.4</v>
      </c>
    </row>
    <row r="78" ht="16" spans="1:11">
      <c r="A78" s="32"/>
      <c r="B78" s="39"/>
      <c r="C78" s="40"/>
      <c r="D78" s="35" t="s">
        <v>47</v>
      </c>
      <c r="E78" s="33" t="s">
        <v>98</v>
      </c>
      <c r="F78" s="39"/>
      <c r="G78" s="39"/>
      <c r="H78" s="37"/>
      <c r="I78" s="41"/>
      <c r="J78" s="37"/>
      <c r="K78" s="38">
        <v>0.3</v>
      </c>
    </row>
    <row r="79" spans="1:11">
      <c r="A79" s="32"/>
      <c r="B79" s="36"/>
      <c r="C79" s="40"/>
      <c r="D79" s="35"/>
      <c r="E79" s="36"/>
      <c r="F79" s="36"/>
      <c r="G79" s="36"/>
      <c r="H79" s="37"/>
      <c r="I79" s="41"/>
      <c r="J79" s="37"/>
      <c r="K79" s="38"/>
    </row>
    <row r="80" ht="16" spans="1:11">
      <c r="A80" s="32" t="s">
        <v>99</v>
      </c>
      <c r="B80" s="33" t="s">
        <v>100</v>
      </c>
      <c r="C80" s="34" t="s">
        <v>46</v>
      </c>
      <c r="D80" s="35"/>
      <c r="E80" s="36"/>
      <c r="F80" s="36"/>
      <c r="G80" s="36"/>
      <c r="H80" s="37"/>
      <c r="I80" s="41"/>
      <c r="J80" s="37"/>
      <c r="K80" s="38"/>
    </row>
    <row r="81" ht="16" spans="1:11">
      <c r="A81" s="32"/>
      <c r="B81" s="39"/>
      <c r="C81" s="40"/>
      <c r="D81" s="35" t="s">
        <v>47</v>
      </c>
      <c r="E81" s="36" t="s">
        <v>48</v>
      </c>
      <c r="F81" s="39"/>
      <c r="G81" s="39" t="s">
        <v>49</v>
      </c>
      <c r="H81" s="37"/>
      <c r="I81" s="41"/>
      <c r="J81" s="37"/>
      <c r="K81" s="38">
        <v>0.3</v>
      </c>
    </row>
    <row r="82" ht="31" spans="1:11">
      <c r="A82" s="32"/>
      <c r="B82" s="36"/>
      <c r="C82" s="40"/>
      <c r="D82" s="35" t="s">
        <v>47</v>
      </c>
      <c r="E82" s="33" t="s">
        <v>101</v>
      </c>
      <c r="F82" s="36"/>
      <c r="G82" s="36"/>
      <c r="H82" s="37"/>
      <c r="I82" s="41"/>
      <c r="J82" s="37"/>
      <c r="K82" s="38">
        <v>0.3</v>
      </c>
    </row>
    <row r="83" ht="76" spans="1:11">
      <c r="A83" s="32"/>
      <c r="B83" s="36"/>
      <c r="C83" s="40"/>
      <c r="D83" s="35" t="s">
        <v>47</v>
      </c>
      <c r="E83" s="39" t="s">
        <v>102</v>
      </c>
      <c r="F83" s="36"/>
      <c r="G83" s="39" t="s">
        <v>103</v>
      </c>
      <c r="H83" s="37"/>
      <c r="I83" s="41"/>
      <c r="J83" s="37"/>
      <c r="K83" s="38">
        <v>1.2</v>
      </c>
    </row>
    <row r="84" ht="16" spans="1:11">
      <c r="A84" s="32"/>
      <c r="B84" s="39"/>
      <c r="C84" s="40"/>
      <c r="D84" s="35" t="s">
        <v>47</v>
      </c>
      <c r="E84" s="39" t="s">
        <v>104</v>
      </c>
      <c r="F84" s="39"/>
      <c r="G84" s="39"/>
      <c r="H84" s="37"/>
      <c r="I84" s="41"/>
      <c r="J84" s="37"/>
      <c r="K84" s="38">
        <v>0.3</v>
      </c>
    </row>
    <row r="85" ht="31" spans="1:11">
      <c r="A85" s="32"/>
      <c r="B85" s="36"/>
      <c r="C85" s="40"/>
      <c r="D85" s="35" t="s">
        <v>47</v>
      </c>
      <c r="E85" s="39" t="s">
        <v>105</v>
      </c>
      <c r="F85" s="36"/>
      <c r="G85" s="36"/>
      <c r="H85" s="37"/>
      <c r="I85" s="41"/>
      <c r="J85" s="37"/>
      <c r="K85" s="38">
        <v>0.3</v>
      </c>
    </row>
    <row r="86" spans="1:11">
      <c r="A86" s="32"/>
      <c r="B86" s="36"/>
      <c r="C86" s="40"/>
      <c r="D86" s="35"/>
      <c r="E86" s="36"/>
      <c r="F86" s="36"/>
      <c r="G86" s="36"/>
      <c r="H86" s="37"/>
      <c r="I86" s="41"/>
      <c r="J86" s="37"/>
      <c r="K86" s="38"/>
    </row>
    <row r="87" ht="16" spans="1:11">
      <c r="A87" s="32" t="s">
        <v>106</v>
      </c>
      <c r="B87" s="43" t="s">
        <v>107</v>
      </c>
      <c r="C87" s="34" t="s">
        <v>46</v>
      </c>
      <c r="D87" s="42"/>
      <c r="E87" s="36"/>
      <c r="F87" s="39"/>
      <c r="G87" s="39"/>
      <c r="H87" s="37"/>
      <c r="I87" s="41"/>
      <c r="J87" s="37"/>
      <c r="K87" s="38"/>
    </row>
    <row r="88" ht="16" spans="1:11">
      <c r="A88" s="32"/>
      <c r="B88" s="36"/>
      <c r="C88" s="40"/>
      <c r="D88" s="35" t="s">
        <v>47</v>
      </c>
      <c r="E88" s="36" t="s">
        <v>48</v>
      </c>
      <c r="F88" s="36"/>
      <c r="G88" s="36" t="s">
        <v>49</v>
      </c>
      <c r="H88" s="37"/>
      <c r="I88" s="41"/>
      <c r="J88" s="37"/>
      <c r="K88" s="38">
        <v>0.8</v>
      </c>
    </row>
    <row r="89" ht="31" spans="1:11">
      <c r="A89" s="32"/>
      <c r="B89" s="36"/>
      <c r="C89" s="40"/>
      <c r="D89" s="35" t="s">
        <v>47</v>
      </c>
      <c r="E89" s="39" t="s">
        <v>108</v>
      </c>
      <c r="F89" s="36"/>
      <c r="G89" s="36"/>
      <c r="H89" s="37"/>
      <c r="I89" s="41"/>
      <c r="J89" s="37"/>
      <c r="K89" s="38">
        <v>0.3</v>
      </c>
    </row>
    <row r="90" ht="16" spans="1:11">
      <c r="A90" s="32"/>
      <c r="B90" s="39"/>
      <c r="C90" s="40"/>
      <c r="D90" s="35" t="s">
        <v>47</v>
      </c>
      <c r="E90" s="39" t="s">
        <v>109</v>
      </c>
      <c r="F90" s="39"/>
      <c r="G90" s="39"/>
      <c r="H90" s="37"/>
      <c r="I90" s="41"/>
      <c r="J90" s="37"/>
      <c r="K90" s="38">
        <v>0.3</v>
      </c>
    </row>
    <row r="91" ht="46" spans="1:11">
      <c r="A91" s="32"/>
      <c r="B91" s="39"/>
      <c r="C91" s="40"/>
      <c r="D91" s="35" t="s">
        <v>47</v>
      </c>
      <c r="E91" s="43" t="s">
        <v>110</v>
      </c>
      <c r="F91" s="36"/>
      <c r="G91" s="36"/>
      <c r="H91" s="37"/>
      <c r="I91" s="41"/>
      <c r="J91" s="37"/>
      <c r="K91" s="38">
        <v>0.4</v>
      </c>
    </row>
    <row r="92" spans="1:11">
      <c r="A92" s="32"/>
      <c r="B92" s="36"/>
      <c r="C92" s="40"/>
      <c r="D92" s="35"/>
      <c r="E92" s="36"/>
      <c r="F92" s="36"/>
      <c r="G92" s="36"/>
      <c r="H92" s="37"/>
      <c r="I92" s="41"/>
      <c r="J92" s="37"/>
      <c r="K92" s="38"/>
    </row>
    <row r="93" ht="16" spans="1:11">
      <c r="A93" s="32" t="s">
        <v>111</v>
      </c>
      <c r="B93" s="39" t="s">
        <v>112</v>
      </c>
      <c r="C93" s="34" t="s">
        <v>46</v>
      </c>
      <c r="D93" s="35"/>
      <c r="E93" s="39"/>
      <c r="F93" s="38"/>
      <c r="G93" s="44"/>
      <c r="H93" s="37"/>
      <c r="I93" s="41"/>
      <c r="J93" s="37"/>
      <c r="K93" s="38"/>
    </row>
    <row r="94" ht="31" spans="1:11">
      <c r="A94" s="32"/>
      <c r="B94" s="36"/>
      <c r="C94" s="40"/>
      <c r="D94" s="35" t="s">
        <v>47</v>
      </c>
      <c r="E94" s="39" t="s">
        <v>113</v>
      </c>
      <c r="F94" s="38"/>
      <c r="G94" s="44" t="s">
        <v>114</v>
      </c>
      <c r="H94" s="37"/>
      <c r="I94" s="41"/>
      <c r="J94" s="37"/>
      <c r="K94" s="38">
        <v>0.4</v>
      </c>
    </row>
    <row r="95" ht="16" spans="1:11">
      <c r="A95" s="40"/>
      <c r="B95" s="37"/>
      <c r="C95" s="40"/>
      <c r="D95" s="35" t="s">
        <v>47</v>
      </c>
      <c r="E95" s="39" t="s">
        <v>115</v>
      </c>
      <c r="F95" s="38"/>
      <c r="G95" s="44"/>
      <c r="H95" s="37"/>
      <c r="I95" s="41"/>
      <c r="J95" s="37"/>
      <c r="K95" s="38">
        <v>0.4</v>
      </c>
    </row>
    <row r="96" ht="16" spans="1:11">
      <c r="A96" s="40"/>
      <c r="B96" s="37"/>
      <c r="C96" s="40"/>
      <c r="D96" s="45" t="s">
        <v>116</v>
      </c>
      <c r="E96" s="39" t="s">
        <v>117</v>
      </c>
      <c r="F96" s="38"/>
      <c r="G96" s="44"/>
      <c r="H96" s="37"/>
      <c r="I96" s="41"/>
      <c r="J96" s="37"/>
      <c r="K96" s="38">
        <v>1</v>
      </c>
    </row>
    <row r="97" ht="46" spans="1:14">
      <c r="A97" s="40"/>
      <c r="B97" s="37"/>
      <c r="C97" s="40"/>
      <c r="D97" s="45"/>
      <c r="E97" s="36"/>
      <c r="F97" s="38">
        <v>0</v>
      </c>
      <c r="G97" s="39" t="s">
        <v>118</v>
      </c>
      <c r="H97" s="37"/>
      <c r="I97" s="41"/>
      <c r="J97" s="37"/>
      <c r="K97" s="46"/>
    </row>
    <row r="98" ht="46" spans="1:14">
      <c r="A98" s="40"/>
      <c r="B98" s="37"/>
      <c r="C98" s="40"/>
      <c r="D98" s="41"/>
      <c r="E98" s="37"/>
      <c r="F98" s="38">
        <v>1</v>
      </c>
      <c r="G98" s="39" t="s">
        <v>119</v>
      </c>
      <c r="H98" s="37"/>
      <c r="I98" s="41"/>
      <c r="J98" s="37"/>
      <c r="K98" s="46"/>
    </row>
    <row r="99" ht="31" spans="1:14">
      <c r="A99" s="40"/>
      <c r="B99" s="37"/>
      <c r="C99" s="40"/>
      <c r="D99" s="41"/>
      <c r="E99" s="37"/>
      <c r="F99" s="38">
        <v>2</v>
      </c>
      <c r="G99" s="39" t="s">
        <v>120</v>
      </c>
      <c r="H99" s="37"/>
      <c r="I99" s="41"/>
      <c r="J99" s="37"/>
      <c r="K99" s="46"/>
    </row>
    <row r="100" ht="46" spans="1:14">
      <c r="A100" s="40"/>
      <c r="B100" s="37"/>
      <c r="C100" s="40"/>
      <c r="D100" s="41"/>
      <c r="E100" s="37"/>
      <c r="F100" s="38">
        <v>3</v>
      </c>
      <c r="G100" s="39" t="s">
        <v>121</v>
      </c>
      <c r="H100" s="37"/>
      <c r="I100" s="41"/>
      <c r="J100" s="37"/>
      <c r="K100" s="41"/>
    </row>
    <row r="101" spans="1:14">
      <c r="A101" s="40"/>
      <c r="B101" s="37"/>
      <c r="C101" s="40"/>
      <c r="D101" s="41"/>
      <c r="E101" s="37"/>
      <c r="F101" s="41"/>
      <c r="G101" s="47"/>
      <c r="H101" s="37"/>
      <c r="I101" s="41"/>
      <c r="J101" s="37"/>
      <c r="K101" s="41"/>
    </row>
    <row r="102" ht="14" customHeight="1" spans="1:14">
      <c r="A102" s="11"/>
      <c r="B102" s="12"/>
      <c r="C102" s="11"/>
      <c r="D102" s="11"/>
      <c r="E102" s="12"/>
      <c r="F102" s="11"/>
      <c r="G102" s="12"/>
      <c r="H102" s="12"/>
      <c r="I102" s="11"/>
      <c r="J102" s="11"/>
      <c r="K102" s="14"/>
    </row>
    <row r="103" ht="71" customHeight="1" spans="1:14">
      <c r="A103" s="24" t="s">
        <v>31</v>
      </c>
      <c r="B103" s="24" t="s">
        <v>32</v>
      </c>
      <c r="C103" s="24" t="s">
        <v>33</v>
      </c>
      <c r="D103" s="24" t="s">
        <v>34</v>
      </c>
      <c r="E103" s="24" t="s">
        <v>35</v>
      </c>
      <c r="F103" s="24" t="s">
        <v>36</v>
      </c>
      <c r="G103" s="24" t="s">
        <v>37</v>
      </c>
      <c r="H103" s="24" t="s">
        <v>38</v>
      </c>
      <c r="I103" s="24" t="s">
        <v>39</v>
      </c>
      <c r="J103" s="24" t="s">
        <v>40</v>
      </c>
      <c r="K103" s="24" t="s">
        <v>41</v>
      </c>
      <c r="L103" s="29" t="s">
        <v>122</v>
      </c>
      <c r="M103" s="30" t="s">
        <v>43</v>
      </c>
      <c r="N103" s="31">
        <f>SUM(K104:K160)</f>
        <v>25</v>
      </c>
    </row>
    <row r="104" spans="1:14">
      <c r="A104" s="34" t="s">
        <v>123</v>
      </c>
      <c r="B104" s="48" t="s">
        <v>112</v>
      </c>
      <c r="C104" s="34" t="s">
        <v>46</v>
      </c>
      <c r="D104" s="34"/>
      <c r="E104" s="49"/>
      <c r="F104" s="50"/>
      <c r="G104" s="49"/>
      <c r="H104" s="48"/>
      <c r="I104" s="34"/>
      <c r="J104" s="34"/>
      <c r="K104" s="51"/>
    </row>
    <row r="105" ht="31" spans="1:14">
      <c r="A105" s="34"/>
      <c r="B105" s="48"/>
      <c r="C105" s="34"/>
      <c r="D105" s="34" t="s">
        <v>47</v>
      </c>
      <c r="E105" s="52" t="s">
        <v>124</v>
      </c>
      <c r="F105" s="50"/>
      <c r="G105" s="49"/>
      <c r="H105" s="48"/>
      <c r="I105" s="34"/>
      <c r="J105" s="34"/>
      <c r="K105" s="51">
        <v>0.5</v>
      </c>
    </row>
    <row r="106" ht="31" spans="1:14">
      <c r="A106" s="34"/>
      <c r="B106" s="48"/>
      <c r="C106" s="34"/>
      <c r="D106" s="50" t="s">
        <v>47</v>
      </c>
      <c r="E106" s="49" t="s">
        <v>125</v>
      </c>
      <c r="F106" s="50"/>
      <c r="G106" s="49"/>
      <c r="H106" s="48"/>
      <c r="I106" s="34"/>
      <c r="J106" s="34"/>
      <c r="K106" s="51">
        <v>0.2</v>
      </c>
    </row>
    <row r="107" ht="16" spans="1:14">
      <c r="A107" s="34"/>
      <c r="B107" s="48"/>
      <c r="C107" s="34"/>
      <c r="D107" s="50" t="s">
        <v>47</v>
      </c>
      <c r="E107" s="49" t="s">
        <v>126</v>
      </c>
      <c r="F107" s="50"/>
      <c r="G107" s="49"/>
      <c r="H107" s="48"/>
      <c r="I107" s="34"/>
      <c r="J107" s="34"/>
      <c r="K107" s="51">
        <v>0.2</v>
      </c>
    </row>
    <row r="108" ht="31" spans="1:14">
      <c r="A108" s="34"/>
      <c r="B108" s="48"/>
      <c r="C108" s="34"/>
      <c r="D108" s="50" t="s">
        <v>47</v>
      </c>
      <c r="E108" s="53" t="s">
        <v>127</v>
      </c>
      <c r="F108" s="50"/>
      <c r="G108" s="49"/>
      <c r="H108" s="49"/>
      <c r="I108" s="50"/>
      <c r="J108" s="50"/>
      <c r="K108" s="51">
        <v>0.25</v>
      </c>
    </row>
    <row r="109" ht="16" spans="1:14">
      <c r="A109" s="34"/>
      <c r="B109" s="48"/>
      <c r="C109" s="34"/>
      <c r="D109" s="50" t="s">
        <v>47</v>
      </c>
      <c r="E109" s="53" t="s">
        <v>128</v>
      </c>
      <c r="F109" s="50"/>
      <c r="G109" s="49"/>
      <c r="H109" s="48"/>
      <c r="I109" s="34"/>
      <c r="J109" s="34"/>
      <c r="K109" s="51">
        <v>0.1</v>
      </c>
    </row>
    <row r="110" ht="16" spans="1:14">
      <c r="A110" s="34"/>
      <c r="B110" s="48"/>
      <c r="C110" s="34"/>
      <c r="D110" s="50" t="s">
        <v>47</v>
      </c>
      <c r="E110" s="53" t="s">
        <v>129</v>
      </c>
      <c r="F110" s="50"/>
      <c r="G110" s="49"/>
      <c r="H110" s="49"/>
      <c r="I110" s="50"/>
      <c r="J110" s="50"/>
      <c r="K110" s="51">
        <v>0.1</v>
      </c>
    </row>
    <row r="111" ht="31" spans="1:14">
      <c r="A111" s="34"/>
      <c r="B111" s="48"/>
      <c r="C111" s="34"/>
      <c r="D111" s="50" t="s">
        <v>47</v>
      </c>
      <c r="E111" s="49" t="s">
        <v>130</v>
      </c>
      <c r="F111" s="50"/>
      <c r="G111" s="53" t="s">
        <v>131</v>
      </c>
      <c r="H111" s="48"/>
      <c r="I111" s="34"/>
      <c r="J111" s="34"/>
      <c r="K111" s="51">
        <v>0.95</v>
      </c>
    </row>
    <row r="112" ht="16" spans="1:14">
      <c r="A112" s="34"/>
      <c r="B112" s="48"/>
      <c r="C112" s="34"/>
      <c r="D112" s="50" t="s">
        <v>47</v>
      </c>
      <c r="E112" s="49" t="s">
        <v>132</v>
      </c>
      <c r="F112" s="50"/>
      <c r="G112" s="49"/>
      <c r="H112" s="48"/>
      <c r="I112" s="34"/>
      <c r="J112" s="34"/>
      <c r="K112" s="51">
        <v>1</v>
      </c>
    </row>
    <row r="113" ht="46" spans="1:11">
      <c r="A113" s="34"/>
      <c r="B113" s="48"/>
      <c r="C113" s="34"/>
      <c r="D113" s="50" t="s">
        <v>47</v>
      </c>
      <c r="E113" s="53" t="s">
        <v>133</v>
      </c>
      <c r="F113" s="50"/>
      <c r="G113" s="49"/>
      <c r="H113" s="48"/>
      <c r="I113" s="34"/>
      <c r="J113" s="34"/>
      <c r="K113" s="51">
        <v>1</v>
      </c>
    </row>
    <row r="114" ht="16" spans="1:11">
      <c r="A114" s="34"/>
      <c r="B114" s="48"/>
      <c r="C114" s="34"/>
      <c r="D114" s="50" t="s">
        <v>47</v>
      </c>
      <c r="E114" s="53" t="s">
        <v>134</v>
      </c>
      <c r="F114" s="50"/>
      <c r="G114" s="49"/>
      <c r="H114" s="48"/>
      <c r="I114" s="34"/>
      <c r="J114" s="34"/>
      <c r="K114" s="51">
        <v>1</v>
      </c>
    </row>
    <row r="115" ht="46" spans="1:11">
      <c r="A115" s="34"/>
      <c r="B115" s="48"/>
      <c r="C115" s="34"/>
      <c r="D115" s="50" t="s">
        <v>47</v>
      </c>
      <c r="E115" s="53" t="s">
        <v>135</v>
      </c>
      <c r="F115" s="50"/>
      <c r="G115" s="49" t="s">
        <v>136</v>
      </c>
      <c r="H115" s="48"/>
      <c r="I115" s="34"/>
      <c r="J115" s="34"/>
      <c r="K115" s="51">
        <v>1</v>
      </c>
    </row>
    <row r="116" spans="1:11">
      <c r="A116" s="34" t="s">
        <v>137</v>
      </c>
      <c r="B116" s="48" t="s">
        <v>138</v>
      </c>
      <c r="C116" s="34" t="s">
        <v>46</v>
      </c>
      <c r="D116" s="34"/>
      <c r="E116" s="49"/>
      <c r="F116" s="50"/>
      <c r="G116" s="49"/>
      <c r="H116" s="48"/>
      <c r="I116" s="34"/>
      <c r="J116" s="34"/>
      <c r="K116" s="51"/>
    </row>
    <row r="117" ht="46" spans="1:11">
      <c r="A117" s="34"/>
      <c r="B117" s="48"/>
      <c r="C117" s="34"/>
      <c r="D117" s="34" t="s">
        <v>47</v>
      </c>
      <c r="E117" s="53" t="s">
        <v>139</v>
      </c>
      <c r="F117" s="50"/>
      <c r="G117" s="49" t="s">
        <v>140</v>
      </c>
      <c r="H117" s="48"/>
      <c r="I117" s="34"/>
      <c r="J117" s="34"/>
      <c r="K117" s="51">
        <v>0.5</v>
      </c>
    </row>
    <row r="118" ht="31" spans="1:11">
      <c r="A118" s="34"/>
      <c r="B118" s="48"/>
      <c r="C118" s="34"/>
      <c r="D118" s="34" t="s">
        <v>47</v>
      </c>
      <c r="E118" s="53" t="s">
        <v>141</v>
      </c>
      <c r="F118" s="50"/>
      <c r="G118" s="49" t="s">
        <v>142</v>
      </c>
      <c r="H118" s="48"/>
      <c r="I118" s="34"/>
      <c r="J118" s="34"/>
      <c r="K118" s="51">
        <v>0.5</v>
      </c>
    </row>
    <row r="119" ht="31" spans="1:11">
      <c r="A119" s="34"/>
      <c r="B119" s="48"/>
      <c r="C119" s="34"/>
      <c r="D119" s="34" t="s">
        <v>47</v>
      </c>
      <c r="E119" s="53" t="s">
        <v>143</v>
      </c>
      <c r="F119" s="50"/>
      <c r="G119" s="49" t="s">
        <v>144</v>
      </c>
      <c r="H119" s="48"/>
      <c r="I119" s="34"/>
      <c r="J119" s="34"/>
      <c r="K119" s="51">
        <v>0.5</v>
      </c>
    </row>
    <row r="120" ht="31" spans="1:11">
      <c r="A120" s="34"/>
      <c r="B120" s="48"/>
      <c r="C120" s="34"/>
      <c r="D120" s="34" t="s">
        <v>47</v>
      </c>
      <c r="E120" s="49" t="s">
        <v>145</v>
      </c>
      <c r="F120" s="50"/>
      <c r="G120" s="49"/>
      <c r="H120" s="48"/>
      <c r="I120" s="34"/>
      <c r="J120" s="34"/>
      <c r="K120" s="51">
        <v>0.8</v>
      </c>
    </row>
    <row r="121" ht="31" spans="1:11">
      <c r="A121" s="34"/>
      <c r="B121" s="48"/>
      <c r="C121" s="34"/>
      <c r="D121" s="34" t="s">
        <v>47</v>
      </c>
      <c r="E121" s="49" t="s">
        <v>146</v>
      </c>
      <c r="F121" s="50"/>
      <c r="G121" s="49"/>
      <c r="H121" s="48"/>
      <c r="I121" s="34"/>
      <c r="J121" s="34"/>
      <c r="K121" s="51">
        <v>0.4</v>
      </c>
    </row>
    <row r="122" ht="16" spans="1:11">
      <c r="A122" s="34"/>
      <c r="B122" s="48"/>
      <c r="C122" s="34"/>
      <c r="D122" s="34" t="s">
        <v>47</v>
      </c>
      <c r="E122" s="49" t="s">
        <v>147</v>
      </c>
      <c r="F122" s="50"/>
      <c r="G122" s="49"/>
      <c r="H122" s="48"/>
      <c r="I122" s="34"/>
      <c r="J122" s="34"/>
      <c r="K122" s="51">
        <v>0.25</v>
      </c>
    </row>
    <row r="123" ht="31" spans="1:11">
      <c r="A123" s="34"/>
      <c r="B123" s="48"/>
      <c r="C123" s="34"/>
      <c r="D123" s="34" t="s">
        <v>47</v>
      </c>
      <c r="E123" s="53" t="s">
        <v>148</v>
      </c>
      <c r="F123" s="50"/>
      <c r="G123" s="49"/>
      <c r="H123" s="48"/>
      <c r="I123" s="34"/>
      <c r="J123" s="34"/>
      <c r="K123" s="51">
        <v>0.1</v>
      </c>
    </row>
    <row r="124" spans="1:11">
      <c r="A124" s="34" t="s">
        <v>149</v>
      </c>
      <c r="B124" s="48" t="s">
        <v>150</v>
      </c>
      <c r="C124" s="34" t="s">
        <v>46</v>
      </c>
      <c r="D124" s="50"/>
      <c r="E124" s="49"/>
      <c r="F124" s="50"/>
      <c r="G124" s="49"/>
      <c r="H124" s="48"/>
      <c r="I124" s="34"/>
      <c r="J124" s="34"/>
      <c r="K124" s="51"/>
    </row>
    <row r="125" ht="92" spans="1:11">
      <c r="A125" s="34"/>
      <c r="B125" s="48"/>
      <c r="C125" s="34"/>
      <c r="D125" s="50" t="s">
        <v>47</v>
      </c>
      <c r="E125" s="49" t="s">
        <v>151</v>
      </c>
      <c r="F125" s="50"/>
      <c r="G125" s="49" t="s">
        <v>152</v>
      </c>
      <c r="H125" s="48"/>
      <c r="I125" s="34"/>
      <c r="J125" s="34"/>
      <c r="K125" s="51">
        <v>1</v>
      </c>
    </row>
    <row r="126" ht="31" spans="1:11">
      <c r="A126" s="34"/>
      <c r="B126" s="48"/>
      <c r="C126" s="34"/>
      <c r="D126" s="34" t="s">
        <v>47</v>
      </c>
      <c r="E126" s="53" t="s">
        <v>153</v>
      </c>
      <c r="F126" s="50"/>
      <c r="G126" s="49" t="s">
        <v>154</v>
      </c>
      <c r="H126" s="48"/>
      <c r="I126" s="34"/>
      <c r="J126" s="34"/>
      <c r="K126" s="51">
        <v>0.5</v>
      </c>
    </row>
    <row r="127" ht="46" spans="1:11">
      <c r="A127" s="34"/>
      <c r="B127" s="48"/>
      <c r="C127" s="34"/>
      <c r="D127" s="34" t="s">
        <v>47</v>
      </c>
      <c r="E127" s="53" t="s">
        <v>155</v>
      </c>
      <c r="F127" s="50"/>
      <c r="G127" s="49" t="s">
        <v>156</v>
      </c>
      <c r="H127" s="48"/>
      <c r="I127" s="34"/>
      <c r="J127" s="34"/>
      <c r="K127" s="51">
        <v>0.5</v>
      </c>
    </row>
    <row r="128" ht="46" spans="1:11">
      <c r="A128" s="34"/>
      <c r="B128" s="48"/>
      <c r="C128" s="34"/>
      <c r="D128" s="34" t="s">
        <v>47</v>
      </c>
      <c r="E128" s="53" t="s">
        <v>157</v>
      </c>
      <c r="F128" s="50"/>
      <c r="G128" s="49" t="s">
        <v>158</v>
      </c>
      <c r="H128" s="49"/>
      <c r="I128" s="50"/>
      <c r="J128" s="50"/>
      <c r="K128" s="51">
        <v>0.45</v>
      </c>
    </row>
    <row r="129" ht="46" spans="1:11">
      <c r="A129" s="34"/>
      <c r="B129" s="48"/>
      <c r="C129" s="34"/>
      <c r="D129" s="34" t="s">
        <v>47</v>
      </c>
      <c r="E129" s="53" t="s">
        <v>159</v>
      </c>
      <c r="F129" s="50"/>
      <c r="G129" s="49"/>
      <c r="H129" s="49"/>
      <c r="I129" s="50"/>
      <c r="J129" s="50"/>
      <c r="K129" s="51">
        <v>0.2</v>
      </c>
    </row>
    <row r="130" ht="61" spans="1:11">
      <c r="A130" s="34"/>
      <c r="B130" s="48"/>
      <c r="C130" s="34"/>
      <c r="D130" s="34" t="s">
        <v>47</v>
      </c>
      <c r="E130" s="53" t="s">
        <v>160</v>
      </c>
      <c r="F130" s="50"/>
      <c r="G130" s="53" t="s">
        <v>161</v>
      </c>
      <c r="H130" s="48"/>
      <c r="I130" s="34"/>
      <c r="J130" s="34"/>
      <c r="K130" s="51">
        <v>0.75</v>
      </c>
    </row>
    <row r="131" ht="31" spans="1:11">
      <c r="A131" s="34"/>
      <c r="B131" s="48"/>
      <c r="C131" s="34"/>
      <c r="D131" s="34" t="s">
        <v>47</v>
      </c>
      <c r="E131" s="53" t="s">
        <v>162</v>
      </c>
      <c r="F131" s="50"/>
      <c r="G131" s="49"/>
      <c r="H131" s="48"/>
      <c r="I131" s="34"/>
      <c r="J131" s="34"/>
      <c r="K131" s="51">
        <v>0.75</v>
      </c>
    </row>
    <row r="132" spans="1:11">
      <c r="A132" s="34" t="s">
        <v>163</v>
      </c>
      <c r="B132" s="48" t="s">
        <v>164</v>
      </c>
      <c r="C132" s="34" t="s">
        <v>46</v>
      </c>
      <c r="D132" s="34"/>
      <c r="E132" s="49"/>
      <c r="F132" s="50"/>
      <c r="G132" s="49"/>
      <c r="H132" s="48"/>
      <c r="I132" s="34"/>
      <c r="J132" s="34"/>
      <c r="K132" s="51"/>
    </row>
    <row r="133" ht="31" spans="1:11">
      <c r="A133" s="34"/>
      <c r="B133" s="48"/>
      <c r="C133" s="34"/>
      <c r="D133" s="34" t="s">
        <v>47</v>
      </c>
      <c r="E133" s="49" t="s">
        <v>165</v>
      </c>
      <c r="F133" s="50"/>
      <c r="G133" s="53" t="s">
        <v>166</v>
      </c>
      <c r="H133" s="49"/>
      <c r="I133" s="34"/>
      <c r="J133" s="34"/>
      <c r="K133" s="51">
        <v>0.15</v>
      </c>
    </row>
    <row r="134" ht="76" spans="1:11">
      <c r="A134" s="34"/>
      <c r="B134" s="48"/>
      <c r="C134" s="34"/>
      <c r="D134" s="34" t="s">
        <v>47</v>
      </c>
      <c r="E134" s="49" t="s">
        <v>167</v>
      </c>
      <c r="F134" s="50"/>
      <c r="G134" s="53" t="s">
        <v>168</v>
      </c>
      <c r="H134" s="49"/>
      <c r="I134" s="34"/>
      <c r="J134" s="34"/>
      <c r="K134" s="51">
        <v>0.6</v>
      </c>
    </row>
    <row r="135" ht="46" spans="1:11">
      <c r="A135" s="34"/>
      <c r="B135" s="48"/>
      <c r="C135" s="34"/>
      <c r="D135" s="34" t="s">
        <v>47</v>
      </c>
      <c r="E135" s="49" t="s">
        <v>169</v>
      </c>
      <c r="F135" s="50"/>
      <c r="G135" s="53" t="s">
        <v>170</v>
      </c>
      <c r="H135" s="48"/>
      <c r="I135" s="34"/>
      <c r="J135" s="34"/>
      <c r="K135" s="51">
        <v>0.45</v>
      </c>
    </row>
    <row r="136" ht="76" spans="1:11">
      <c r="A136" s="34"/>
      <c r="B136" s="48"/>
      <c r="C136" s="34"/>
      <c r="D136" s="34" t="s">
        <v>47</v>
      </c>
      <c r="E136" s="53" t="s">
        <v>171</v>
      </c>
      <c r="F136" s="50"/>
      <c r="G136" s="49"/>
      <c r="H136" s="48"/>
      <c r="I136" s="34"/>
      <c r="J136" s="34"/>
      <c r="K136" s="51">
        <v>1</v>
      </c>
    </row>
    <row r="137" ht="31" spans="1:11">
      <c r="A137" s="34"/>
      <c r="B137" s="48"/>
      <c r="C137" s="34"/>
      <c r="D137" s="34" t="s">
        <v>47</v>
      </c>
      <c r="E137" s="53" t="s">
        <v>172</v>
      </c>
      <c r="F137" s="50"/>
      <c r="G137" s="49"/>
      <c r="H137" s="49"/>
      <c r="I137" s="50"/>
      <c r="J137" s="50"/>
      <c r="K137" s="51">
        <v>0.25</v>
      </c>
    </row>
    <row r="138" ht="31" spans="1:11">
      <c r="A138" s="50"/>
      <c r="B138" s="48"/>
      <c r="C138" s="34"/>
      <c r="D138" s="34" t="s">
        <v>47</v>
      </c>
      <c r="E138" s="53" t="s">
        <v>173</v>
      </c>
      <c r="F138" s="50"/>
      <c r="G138" s="49" t="s">
        <v>174</v>
      </c>
      <c r="H138" s="48"/>
      <c r="I138" s="34"/>
      <c r="J138" s="34"/>
      <c r="K138" s="51">
        <v>0.2</v>
      </c>
    </row>
    <row r="139" ht="31" spans="1:11">
      <c r="A139" s="34"/>
      <c r="B139" s="48"/>
      <c r="C139" s="34"/>
      <c r="D139" s="34" t="s">
        <v>47</v>
      </c>
      <c r="E139" s="53" t="s">
        <v>175</v>
      </c>
      <c r="F139" s="50"/>
      <c r="G139" s="49" t="s">
        <v>176</v>
      </c>
      <c r="H139" s="48"/>
      <c r="I139" s="34"/>
      <c r="J139" s="34"/>
      <c r="K139" s="51">
        <v>0.6</v>
      </c>
    </row>
    <row r="140" ht="31" spans="1:11">
      <c r="A140" s="34" t="s">
        <v>177</v>
      </c>
      <c r="B140" s="53" t="s">
        <v>178</v>
      </c>
      <c r="C140" s="34"/>
      <c r="D140" s="34"/>
      <c r="E140" s="53"/>
      <c r="F140" s="50"/>
      <c r="G140" s="49"/>
      <c r="H140" s="48"/>
      <c r="I140" s="34"/>
      <c r="J140" s="34"/>
      <c r="K140" s="51"/>
    </row>
    <row r="141" ht="46" spans="1:11">
      <c r="A141" s="34"/>
      <c r="B141" s="48"/>
      <c r="C141" s="34"/>
      <c r="D141" s="50" t="s">
        <v>47</v>
      </c>
      <c r="E141" s="53" t="s">
        <v>179</v>
      </c>
      <c r="F141" s="50"/>
      <c r="G141" s="49" t="s">
        <v>180</v>
      </c>
      <c r="H141" s="49"/>
      <c r="I141" s="50"/>
      <c r="J141" s="50"/>
      <c r="K141" s="51">
        <v>2</v>
      </c>
    </row>
    <row r="142" ht="31" spans="1:11">
      <c r="A142" s="34"/>
      <c r="B142" s="48"/>
      <c r="C142" s="34"/>
      <c r="D142" s="50" t="s">
        <v>47</v>
      </c>
      <c r="E142" s="53" t="s">
        <v>181</v>
      </c>
      <c r="F142" s="50"/>
      <c r="G142" s="49"/>
      <c r="H142" s="49"/>
      <c r="I142" s="34"/>
      <c r="J142" s="34"/>
      <c r="K142" s="51">
        <v>0.5</v>
      </c>
    </row>
    <row r="143" ht="16" spans="1:11">
      <c r="A143" s="34"/>
      <c r="B143" s="48"/>
      <c r="C143" s="34"/>
      <c r="D143" s="50" t="s">
        <v>47</v>
      </c>
      <c r="E143" s="53" t="s">
        <v>182</v>
      </c>
      <c r="F143" s="50"/>
      <c r="G143" s="49"/>
      <c r="H143" s="49"/>
      <c r="I143" s="50"/>
      <c r="J143" s="50"/>
      <c r="K143" s="51">
        <v>0.1</v>
      </c>
    </row>
    <row r="144" ht="31" spans="1:11">
      <c r="A144" s="34"/>
      <c r="B144" s="48"/>
      <c r="C144" s="34"/>
      <c r="D144" s="50" t="s">
        <v>47</v>
      </c>
      <c r="E144" s="53" t="s">
        <v>183</v>
      </c>
      <c r="F144" s="50"/>
      <c r="G144" s="49"/>
      <c r="H144" s="48"/>
      <c r="I144" s="34"/>
      <c r="J144" s="34"/>
      <c r="K144" s="51">
        <v>0.2</v>
      </c>
    </row>
    <row r="145" ht="31" spans="1:11">
      <c r="A145" s="34"/>
      <c r="B145" s="48"/>
      <c r="C145" s="34"/>
      <c r="D145" s="34" t="s">
        <v>47</v>
      </c>
      <c r="E145" s="53" t="s">
        <v>184</v>
      </c>
      <c r="F145" s="50"/>
      <c r="G145" s="49"/>
      <c r="H145" s="48"/>
      <c r="I145" s="34"/>
      <c r="J145" s="34"/>
      <c r="K145" s="51">
        <v>0.1</v>
      </c>
    </row>
    <row r="146" ht="46" spans="1:11">
      <c r="A146" s="34"/>
      <c r="B146" s="48"/>
      <c r="C146" s="34"/>
      <c r="D146" s="34" t="s">
        <v>47</v>
      </c>
      <c r="E146" s="53" t="s">
        <v>185</v>
      </c>
      <c r="F146" s="50"/>
      <c r="G146" s="49"/>
      <c r="H146" s="49"/>
      <c r="I146" s="50"/>
      <c r="J146" s="50"/>
      <c r="K146" s="51">
        <v>0.2</v>
      </c>
    </row>
    <row r="147" spans="1:11">
      <c r="A147" s="34" t="s">
        <v>186</v>
      </c>
      <c r="B147" s="48" t="s">
        <v>187</v>
      </c>
      <c r="C147" s="34" t="s">
        <v>46</v>
      </c>
      <c r="D147" s="34"/>
      <c r="E147" s="53"/>
      <c r="F147" s="50"/>
      <c r="G147" s="49"/>
      <c r="H147" s="49"/>
      <c r="I147" s="34"/>
      <c r="J147" s="34"/>
      <c r="K147" s="51"/>
    </row>
    <row r="148" ht="16" spans="1:11">
      <c r="A148" s="34"/>
      <c r="B148" s="48"/>
      <c r="C148" s="34"/>
      <c r="D148" s="34" t="s">
        <v>47</v>
      </c>
      <c r="E148" s="49" t="s">
        <v>151</v>
      </c>
      <c r="F148" s="50"/>
      <c r="G148" s="49" t="s">
        <v>188</v>
      </c>
      <c r="H148" s="49"/>
      <c r="I148" s="50"/>
      <c r="J148" s="50"/>
      <c r="K148" s="51">
        <v>1</v>
      </c>
    </row>
    <row r="149" ht="46" spans="1:11">
      <c r="A149" s="34"/>
      <c r="B149" s="48"/>
      <c r="C149" s="34"/>
      <c r="D149" s="34" t="s">
        <v>47</v>
      </c>
      <c r="E149" s="53" t="s">
        <v>189</v>
      </c>
      <c r="F149" s="50"/>
      <c r="G149" s="49" t="s">
        <v>190</v>
      </c>
      <c r="H149" s="48"/>
      <c r="I149" s="34"/>
      <c r="J149" s="34"/>
      <c r="K149" s="51">
        <v>0.2</v>
      </c>
    </row>
    <row r="150" ht="31" spans="1:11">
      <c r="A150" s="34"/>
      <c r="B150" s="48"/>
      <c r="C150" s="34"/>
      <c r="D150" s="34" t="s">
        <v>47</v>
      </c>
      <c r="E150" s="53" t="s">
        <v>191</v>
      </c>
      <c r="F150" s="50"/>
      <c r="G150" s="49" t="s">
        <v>192</v>
      </c>
      <c r="H150" s="48"/>
      <c r="I150" s="34"/>
      <c r="J150" s="34"/>
      <c r="K150" s="51">
        <v>0.5</v>
      </c>
    </row>
    <row r="151" ht="46" spans="1:11">
      <c r="A151" s="34"/>
      <c r="B151" s="48"/>
      <c r="C151" s="34"/>
      <c r="D151" s="34" t="s">
        <v>47</v>
      </c>
      <c r="E151" s="53" t="s">
        <v>193</v>
      </c>
      <c r="F151" s="50"/>
      <c r="G151" s="49" t="s">
        <v>188</v>
      </c>
      <c r="H151" s="48"/>
      <c r="I151" s="34"/>
      <c r="J151" s="34"/>
      <c r="K151" s="51">
        <v>0.3</v>
      </c>
    </row>
    <row r="152" ht="31" spans="1:11">
      <c r="A152" s="34"/>
      <c r="B152" s="48"/>
      <c r="C152" s="34"/>
      <c r="D152" s="34" t="s">
        <v>47</v>
      </c>
      <c r="E152" s="53" t="s">
        <v>194</v>
      </c>
      <c r="F152" s="50"/>
      <c r="G152" s="49" t="s">
        <v>188</v>
      </c>
      <c r="H152" s="48"/>
      <c r="I152" s="34"/>
      <c r="J152" s="34"/>
      <c r="K152" s="51">
        <v>0.3</v>
      </c>
    </row>
    <row r="153" ht="31" spans="1:11">
      <c r="A153" s="34"/>
      <c r="B153" s="48"/>
      <c r="C153" s="34"/>
      <c r="D153" s="34" t="s">
        <v>47</v>
      </c>
      <c r="E153" s="49" t="s">
        <v>195</v>
      </c>
      <c r="F153" s="50"/>
      <c r="G153" s="49"/>
      <c r="H153" s="48"/>
      <c r="I153" s="34"/>
      <c r="J153" s="34"/>
      <c r="K153" s="51">
        <v>0.5</v>
      </c>
    </row>
    <row r="154" ht="31" spans="1:11">
      <c r="A154" s="34"/>
      <c r="B154" s="48"/>
      <c r="C154" s="34"/>
      <c r="D154" s="34" t="s">
        <v>47</v>
      </c>
      <c r="E154" s="49" t="s">
        <v>196</v>
      </c>
      <c r="F154" s="50"/>
      <c r="G154" s="49"/>
      <c r="H154" s="48"/>
      <c r="I154" s="34"/>
      <c r="J154" s="34"/>
      <c r="K154" s="51">
        <v>0.5</v>
      </c>
    </row>
    <row r="155" ht="31" spans="1:11">
      <c r="A155" s="34"/>
      <c r="B155" s="48"/>
      <c r="C155" s="34"/>
      <c r="D155" s="34" t="s">
        <v>47</v>
      </c>
      <c r="E155" s="49" t="s">
        <v>197</v>
      </c>
      <c r="F155" s="50"/>
      <c r="G155" s="49"/>
      <c r="H155" s="48"/>
      <c r="I155" s="34"/>
      <c r="J155" s="34"/>
      <c r="K155" s="51">
        <v>0.25</v>
      </c>
    </row>
    <row r="156" ht="31" spans="1:11">
      <c r="A156" s="34"/>
      <c r="B156" s="48"/>
      <c r="C156" s="34"/>
      <c r="D156" s="34" t="s">
        <v>47</v>
      </c>
      <c r="E156" s="53" t="s">
        <v>198</v>
      </c>
      <c r="F156" s="50"/>
      <c r="G156" s="49"/>
      <c r="H156" s="48"/>
      <c r="I156" s="34"/>
      <c r="J156" s="34"/>
      <c r="K156" s="51">
        <v>0.1</v>
      </c>
    </row>
    <row r="157" ht="46" spans="1:11">
      <c r="A157" s="34"/>
      <c r="B157" s="48"/>
      <c r="C157" s="34"/>
      <c r="D157" s="34" t="s">
        <v>47</v>
      </c>
      <c r="E157" s="53" t="s">
        <v>199</v>
      </c>
      <c r="F157" s="50"/>
      <c r="G157" s="49"/>
      <c r="H157" s="48"/>
      <c r="I157" s="34"/>
      <c r="J157" s="34"/>
      <c r="K157" s="51">
        <v>0.5</v>
      </c>
    </row>
    <row r="158" ht="61" spans="1:11">
      <c r="A158" s="34"/>
      <c r="B158" s="48"/>
      <c r="C158" s="34"/>
      <c r="D158" s="34" t="s">
        <v>47</v>
      </c>
      <c r="E158" s="53" t="s">
        <v>200</v>
      </c>
      <c r="F158" s="50"/>
      <c r="G158" s="49" t="s">
        <v>201</v>
      </c>
      <c r="H158" s="48"/>
      <c r="I158" s="34"/>
      <c r="J158" s="34"/>
      <c r="K158" s="51">
        <v>1</v>
      </c>
    </row>
    <row r="159" spans="1:11">
      <c r="A159" s="11"/>
      <c r="B159" s="12"/>
      <c r="C159" s="11"/>
      <c r="D159" s="54"/>
      <c r="E159" s="12"/>
      <c r="F159" s="54"/>
      <c r="G159" s="55"/>
      <c r="H159" s="12"/>
      <c r="I159" s="54"/>
      <c r="J159" s="12"/>
      <c r="K159" s="14"/>
    </row>
    <row r="160" ht="14" customHeight="1" spans="1:11">
      <c r="A160" s="11"/>
      <c r="B160" s="12"/>
      <c r="C160" s="11"/>
      <c r="D160" s="11"/>
      <c r="E160" s="12"/>
      <c r="F160" s="11"/>
      <c r="G160" s="12"/>
      <c r="H160" s="12"/>
      <c r="I160" s="11"/>
      <c r="J160" s="11"/>
      <c r="K160" s="14"/>
    </row>
    <row r="161" ht="71" customHeight="1" spans="1:14">
      <c r="A161" s="24" t="s">
        <v>31</v>
      </c>
      <c r="B161" s="24" t="s">
        <v>32</v>
      </c>
      <c r="C161" s="24" t="s">
        <v>33</v>
      </c>
      <c r="D161" s="24" t="s">
        <v>34</v>
      </c>
      <c r="E161" s="24" t="s">
        <v>35</v>
      </c>
      <c r="F161" s="24" t="s">
        <v>36</v>
      </c>
      <c r="G161" s="24" t="s">
        <v>37</v>
      </c>
      <c r="H161" s="24" t="s">
        <v>38</v>
      </c>
      <c r="I161" s="24" t="s">
        <v>39</v>
      </c>
      <c r="J161" s="24" t="s">
        <v>40</v>
      </c>
      <c r="K161" s="24" t="s">
        <v>41</v>
      </c>
      <c r="L161" s="29" t="s">
        <v>202</v>
      </c>
      <c r="M161" s="30" t="s">
        <v>43</v>
      </c>
      <c r="N161" s="31">
        <f>SUM(K162:K195)</f>
        <v>25</v>
      </c>
    </row>
    <row r="162" spans="1:14">
      <c r="A162" s="11" t="s">
        <v>203</v>
      </c>
      <c r="B162" s="12" t="s">
        <v>112</v>
      </c>
      <c r="C162" s="34" t="s">
        <v>46</v>
      </c>
      <c r="D162" s="54"/>
      <c r="E162" s="12"/>
      <c r="F162" s="12"/>
      <c r="G162" s="12"/>
      <c r="H162" s="12"/>
      <c r="I162" s="12"/>
      <c r="J162" s="12"/>
      <c r="K162" s="54"/>
    </row>
    <row r="163" ht="31" spans="1:14">
      <c r="A163" s="11"/>
      <c r="B163" s="12"/>
      <c r="C163" s="11"/>
      <c r="D163" s="54" t="s">
        <v>47</v>
      </c>
      <c r="E163" s="12" t="s">
        <v>112</v>
      </c>
      <c r="F163" s="54"/>
      <c r="G163" s="56" t="s">
        <v>204</v>
      </c>
      <c r="H163" s="12"/>
      <c r="I163" s="54">
        <v>4</v>
      </c>
      <c r="J163" s="12"/>
      <c r="K163" s="57">
        <v>0.2</v>
      </c>
    </row>
    <row r="164" ht="31" spans="1:14">
      <c r="A164" s="11"/>
      <c r="B164" s="12"/>
      <c r="C164" s="11"/>
      <c r="D164" s="54" t="s">
        <v>47</v>
      </c>
      <c r="E164" s="12" t="s">
        <v>112</v>
      </c>
      <c r="F164" s="54"/>
      <c r="G164" s="56" t="s">
        <v>205</v>
      </c>
      <c r="H164" s="12"/>
      <c r="I164" s="54">
        <v>4</v>
      </c>
      <c r="J164" s="12"/>
      <c r="K164" s="14">
        <v>0.3</v>
      </c>
    </row>
    <row r="165" ht="31" spans="1:14">
      <c r="A165" s="11"/>
      <c r="B165" s="12"/>
      <c r="C165" s="11"/>
      <c r="D165" s="54" t="s">
        <v>47</v>
      </c>
      <c r="E165" s="12" t="s">
        <v>112</v>
      </c>
      <c r="F165" s="54"/>
      <c r="G165" s="56" t="s">
        <v>206</v>
      </c>
      <c r="H165" s="12"/>
      <c r="I165" s="54">
        <v>6</v>
      </c>
      <c r="J165" s="12"/>
      <c r="K165" s="14">
        <v>1</v>
      </c>
    </row>
    <row r="166" ht="16" spans="1:14">
      <c r="A166" s="11"/>
      <c r="B166" s="12"/>
      <c r="C166" s="11"/>
      <c r="D166" s="54" t="s">
        <v>47</v>
      </c>
      <c r="E166" s="12" t="s">
        <v>112</v>
      </c>
      <c r="F166" s="54"/>
      <c r="G166" s="56" t="s">
        <v>207</v>
      </c>
      <c r="H166" s="12"/>
      <c r="I166" s="54">
        <v>4</v>
      </c>
      <c r="J166" s="12"/>
      <c r="K166" s="14">
        <v>0.3</v>
      </c>
    </row>
    <row r="167" ht="31" spans="1:14">
      <c r="A167" s="11"/>
      <c r="B167" s="12"/>
      <c r="C167" s="11"/>
      <c r="D167" s="54" t="s">
        <v>47</v>
      </c>
      <c r="E167" s="12" t="s">
        <v>112</v>
      </c>
      <c r="F167" s="54"/>
      <c r="G167" s="56" t="s">
        <v>208</v>
      </c>
      <c r="H167" s="12"/>
      <c r="I167" s="54">
        <v>7</v>
      </c>
      <c r="J167" s="12"/>
      <c r="K167" s="14">
        <v>0.5</v>
      </c>
    </row>
    <row r="168" customFormat="1" ht="16" customHeight="1" spans="1:14">
      <c r="A168" s="11"/>
      <c r="B168" s="12"/>
      <c r="C168" s="11"/>
      <c r="D168" s="54" t="s">
        <v>116</v>
      </c>
      <c r="E168" s="12" t="s">
        <v>209</v>
      </c>
      <c r="F168" s="54">
        <v>0</v>
      </c>
      <c r="G168" s="56" t="s">
        <v>210</v>
      </c>
      <c r="H168" s="12"/>
      <c r="I168" s="54">
        <v>2</v>
      </c>
      <c r="J168" s="12"/>
      <c r="K168" s="57">
        <v>1</v>
      </c>
    </row>
    <row r="169" customFormat="1" ht="16" customHeight="1" spans="1:14">
      <c r="A169" s="11"/>
      <c r="B169" s="12"/>
      <c r="C169" s="11"/>
      <c r="D169" s="54"/>
      <c r="E169" s="12"/>
      <c r="F169" s="54">
        <v>1</v>
      </c>
      <c r="G169" s="56" t="s">
        <v>211</v>
      </c>
      <c r="H169" s="12"/>
      <c r="I169" s="54"/>
      <c r="J169" s="12"/>
      <c r="K169" s="54"/>
    </row>
    <row r="170" customFormat="1" ht="16" customHeight="1" spans="1:14">
      <c r="A170" s="11"/>
      <c r="B170" s="12"/>
      <c r="C170" s="11"/>
      <c r="D170" s="54"/>
      <c r="E170" s="12"/>
      <c r="F170" s="54">
        <v>2</v>
      </c>
      <c r="G170" s="56" t="s">
        <v>212</v>
      </c>
      <c r="H170" s="12"/>
      <c r="I170" s="54"/>
      <c r="J170" s="12"/>
      <c r="K170" s="54"/>
    </row>
    <row r="171" customFormat="1" ht="16" customHeight="1" spans="1:14">
      <c r="A171" s="11"/>
      <c r="B171" s="12"/>
      <c r="C171" s="11"/>
      <c r="D171" s="54"/>
      <c r="E171" s="12"/>
      <c r="F171" s="54">
        <v>3</v>
      </c>
      <c r="G171" s="56" t="s">
        <v>213</v>
      </c>
      <c r="H171" s="12"/>
      <c r="I171" s="54"/>
      <c r="J171" s="12"/>
      <c r="K171" s="54"/>
    </row>
    <row r="172" customFormat="1" ht="16" customHeight="1" spans="1:14">
      <c r="A172" s="11"/>
      <c r="B172" s="12"/>
      <c r="C172" s="11"/>
      <c r="D172" s="54"/>
      <c r="E172" s="12"/>
      <c r="F172" s="54"/>
      <c r="G172" s="56"/>
      <c r="H172" s="12"/>
      <c r="I172" s="54"/>
      <c r="J172" s="12"/>
      <c r="K172" s="54"/>
    </row>
    <row r="173" customFormat="1" ht="16" customHeight="1" spans="1:14">
      <c r="A173" s="11"/>
      <c r="B173" s="12"/>
      <c r="C173" s="11"/>
      <c r="D173" s="54" t="s">
        <v>116</v>
      </c>
      <c r="E173" s="12" t="s">
        <v>214</v>
      </c>
      <c r="F173" s="54">
        <v>0</v>
      </c>
      <c r="G173" s="56" t="s">
        <v>215</v>
      </c>
      <c r="H173" s="12"/>
      <c r="I173" s="54">
        <v>2</v>
      </c>
      <c r="J173" s="12"/>
      <c r="K173" s="14">
        <v>1</v>
      </c>
    </row>
    <row r="174" customFormat="1" ht="16" customHeight="1" spans="1:14">
      <c r="A174" s="11"/>
      <c r="B174" s="12"/>
      <c r="C174" s="11"/>
      <c r="D174" s="54"/>
      <c r="E174" s="12"/>
      <c r="F174" s="54">
        <v>1</v>
      </c>
      <c r="G174" s="56" t="s">
        <v>216</v>
      </c>
      <c r="H174" s="12"/>
      <c r="I174" s="54"/>
      <c r="J174" s="12"/>
      <c r="K174" s="54"/>
    </row>
    <row r="175" customFormat="1" ht="16" customHeight="1" spans="1:14">
      <c r="A175" s="11"/>
      <c r="B175" s="12"/>
      <c r="C175" s="11"/>
      <c r="D175" s="54"/>
      <c r="E175" s="12"/>
      <c r="F175" s="54">
        <v>2</v>
      </c>
      <c r="G175" s="56" t="s">
        <v>217</v>
      </c>
      <c r="H175" s="12"/>
      <c r="I175" s="54"/>
      <c r="J175" s="12"/>
      <c r="K175" s="54"/>
    </row>
    <row r="176" customFormat="1" ht="16" customHeight="1" spans="1:14">
      <c r="A176" s="11"/>
      <c r="B176" s="12"/>
      <c r="C176" s="11"/>
      <c r="D176" s="54"/>
      <c r="E176" s="12"/>
      <c r="F176" s="54">
        <v>3</v>
      </c>
      <c r="G176" s="56" t="s">
        <v>218</v>
      </c>
      <c r="H176" s="12"/>
      <c r="I176" s="12"/>
      <c r="J176" s="12"/>
      <c r="K176" s="54"/>
    </row>
    <row r="177" customFormat="1" ht="16" customHeight="1" spans="1:11">
      <c r="A177" s="11" t="s">
        <v>219</v>
      </c>
      <c r="B177" s="12" t="s">
        <v>61</v>
      </c>
      <c r="C177" s="34" t="s">
        <v>46</v>
      </c>
      <c r="D177" s="54"/>
      <c r="E177" s="12"/>
      <c r="F177" s="54"/>
      <c r="G177" s="56"/>
      <c r="H177" s="12"/>
      <c r="I177" s="12"/>
      <c r="J177" s="12"/>
      <c r="K177" s="54"/>
    </row>
    <row r="178" ht="61" spans="1:11">
      <c r="A178" s="11"/>
      <c r="B178" s="12"/>
      <c r="C178" s="11"/>
      <c r="D178" s="54" t="s">
        <v>47</v>
      </c>
      <c r="E178" s="12" t="s">
        <v>220</v>
      </c>
      <c r="F178" s="54"/>
      <c r="G178" s="56" t="s">
        <v>221</v>
      </c>
      <c r="H178" s="12"/>
      <c r="I178" s="54">
        <v>5</v>
      </c>
      <c r="J178" s="12"/>
      <c r="K178" s="14">
        <v>0.5</v>
      </c>
    </row>
    <row r="179" ht="16" customHeight="1" spans="1:11">
      <c r="A179" s="11"/>
      <c r="B179" s="12"/>
      <c r="C179" s="11"/>
      <c r="D179" s="54" t="s">
        <v>47</v>
      </c>
      <c r="E179" s="12" t="s">
        <v>222</v>
      </c>
      <c r="F179" s="54"/>
      <c r="G179" s="58" t="s">
        <v>223</v>
      </c>
      <c r="H179" s="12"/>
      <c r="I179" s="54">
        <v>6</v>
      </c>
      <c r="J179" s="12"/>
      <c r="K179" s="14">
        <v>2.5</v>
      </c>
    </row>
    <row r="180" ht="16" customHeight="1" spans="1:11">
      <c r="A180" s="11" t="s">
        <v>224</v>
      </c>
      <c r="B180" s="12" t="s">
        <v>225</v>
      </c>
      <c r="C180" s="34" t="s">
        <v>46</v>
      </c>
      <c r="D180" s="54"/>
      <c r="E180" s="12"/>
      <c r="F180" s="54"/>
      <c r="G180" s="58"/>
      <c r="H180" s="12"/>
      <c r="I180" s="54"/>
      <c r="J180" s="12"/>
      <c r="K180" s="14"/>
    </row>
    <row r="181" ht="16" customHeight="1" spans="1:11">
      <c r="A181" s="11"/>
      <c r="B181" s="12"/>
      <c r="C181" s="11"/>
      <c r="D181" s="54" t="s">
        <v>47</v>
      </c>
      <c r="E181" s="12" t="s">
        <v>226</v>
      </c>
      <c r="F181" s="54"/>
      <c r="G181" s="58" t="s">
        <v>227</v>
      </c>
      <c r="H181" s="12"/>
      <c r="I181" s="54">
        <v>5</v>
      </c>
      <c r="J181" s="12"/>
      <c r="K181" s="14">
        <v>0.7</v>
      </c>
    </row>
    <row r="182" ht="16" customHeight="1" spans="1:11">
      <c r="A182" s="11"/>
      <c r="B182" s="12"/>
      <c r="C182" s="11"/>
      <c r="D182" s="54" t="s">
        <v>47</v>
      </c>
      <c r="E182" s="12" t="s">
        <v>228</v>
      </c>
      <c r="F182" s="54"/>
      <c r="G182" s="58" t="s">
        <v>229</v>
      </c>
      <c r="H182" s="12"/>
      <c r="I182" s="54">
        <v>6</v>
      </c>
      <c r="J182" s="12"/>
      <c r="K182" s="14">
        <v>2</v>
      </c>
    </row>
    <row r="183" ht="16" customHeight="1" spans="1:11">
      <c r="A183" s="11"/>
      <c r="B183" s="12"/>
      <c r="C183" s="11"/>
      <c r="D183" s="54" t="s">
        <v>47</v>
      </c>
      <c r="E183" s="12" t="s">
        <v>230</v>
      </c>
      <c r="F183" s="54"/>
      <c r="G183" s="58" t="s">
        <v>231</v>
      </c>
      <c r="H183" s="12"/>
      <c r="I183" s="54">
        <v>6</v>
      </c>
      <c r="J183" s="12"/>
      <c r="K183" s="14">
        <v>2.5</v>
      </c>
    </row>
    <row r="184" ht="16" customHeight="1" spans="1:11">
      <c r="A184" s="11" t="s">
        <v>232</v>
      </c>
      <c r="B184" s="12" t="s">
        <v>233</v>
      </c>
      <c r="C184" s="34" t="s">
        <v>46</v>
      </c>
      <c r="D184" s="54"/>
      <c r="E184" s="12"/>
      <c r="F184" s="54"/>
      <c r="G184" s="58"/>
      <c r="H184" s="12"/>
      <c r="I184" s="54"/>
      <c r="J184" s="12"/>
      <c r="K184" s="14"/>
    </row>
    <row r="185" ht="16" customHeight="1" spans="1:11">
      <c r="A185" s="11"/>
      <c r="B185" s="12"/>
      <c r="C185" s="11"/>
      <c r="D185" s="54" t="s">
        <v>47</v>
      </c>
      <c r="E185" s="12" t="s">
        <v>234</v>
      </c>
      <c r="F185" s="54"/>
      <c r="G185" s="58" t="s">
        <v>235</v>
      </c>
      <c r="H185" s="12"/>
      <c r="I185" s="54">
        <v>5</v>
      </c>
      <c r="J185" s="12"/>
      <c r="K185" s="14">
        <v>0.8</v>
      </c>
    </row>
    <row r="186" ht="16" customHeight="1" spans="1:11">
      <c r="A186" s="11"/>
      <c r="B186" s="12"/>
      <c r="C186" s="11"/>
      <c r="D186" s="54" t="s">
        <v>47</v>
      </c>
      <c r="E186" s="12" t="s">
        <v>236</v>
      </c>
      <c r="F186" s="54"/>
      <c r="G186" s="58" t="s">
        <v>237</v>
      </c>
      <c r="H186" s="12"/>
      <c r="I186" s="54">
        <v>6</v>
      </c>
      <c r="J186" s="12"/>
      <c r="K186" s="14">
        <v>2.9</v>
      </c>
    </row>
    <row r="187" ht="16" customHeight="1" spans="1:11">
      <c r="A187" s="11"/>
      <c r="B187" s="12"/>
      <c r="C187" s="11"/>
      <c r="D187" s="54" t="s">
        <v>47</v>
      </c>
      <c r="E187" s="12" t="s">
        <v>238</v>
      </c>
      <c r="F187" s="54"/>
      <c r="G187" s="58" t="s">
        <v>239</v>
      </c>
      <c r="H187" s="12"/>
      <c r="I187" s="54">
        <v>6</v>
      </c>
      <c r="J187" s="12"/>
      <c r="K187" s="14">
        <v>1.4</v>
      </c>
    </row>
    <row r="188" ht="16" customHeight="1" spans="1:11">
      <c r="A188" s="11" t="s">
        <v>240</v>
      </c>
      <c r="B188" s="12" t="s">
        <v>241</v>
      </c>
      <c r="C188" s="34" t="s">
        <v>46</v>
      </c>
      <c r="D188" s="54"/>
      <c r="E188" s="12"/>
      <c r="F188" s="54"/>
      <c r="G188" s="58"/>
      <c r="H188" s="12"/>
      <c r="I188" s="54"/>
      <c r="J188" s="12"/>
      <c r="K188" s="14"/>
    </row>
    <row r="189" ht="16" customHeight="1" spans="1:11">
      <c r="A189" s="11"/>
      <c r="B189" s="12"/>
      <c r="C189" s="11"/>
      <c r="D189" s="54" t="s">
        <v>47</v>
      </c>
      <c r="E189" s="12" t="s">
        <v>242</v>
      </c>
      <c r="F189" s="54"/>
      <c r="G189" s="58" t="s">
        <v>243</v>
      </c>
      <c r="H189" s="12"/>
      <c r="I189" s="54">
        <v>5</v>
      </c>
      <c r="J189" s="12"/>
      <c r="K189" s="14">
        <v>0.6</v>
      </c>
    </row>
    <row r="190" ht="16" customHeight="1" spans="1:11">
      <c r="A190" s="11"/>
      <c r="B190" s="12"/>
      <c r="C190" s="11"/>
      <c r="D190" s="54" t="s">
        <v>47</v>
      </c>
      <c r="E190" s="12" t="s">
        <v>244</v>
      </c>
      <c r="F190" s="54"/>
      <c r="G190" s="58" t="s">
        <v>245</v>
      </c>
      <c r="H190" s="12"/>
      <c r="I190" s="54">
        <v>6</v>
      </c>
      <c r="J190" s="12"/>
      <c r="K190" s="14">
        <v>3.8</v>
      </c>
    </row>
    <row r="191" ht="16" customHeight="1" spans="1:11">
      <c r="A191" s="11" t="s">
        <v>246</v>
      </c>
      <c r="B191" s="12" t="s">
        <v>247</v>
      </c>
      <c r="C191" s="34" t="s">
        <v>46</v>
      </c>
      <c r="D191" s="54"/>
      <c r="E191" s="12"/>
      <c r="F191" s="54"/>
      <c r="G191" s="58"/>
      <c r="H191" s="12"/>
      <c r="I191" s="54"/>
      <c r="J191" s="12"/>
      <c r="K191" s="14"/>
    </row>
    <row r="192" ht="16" customHeight="1" spans="1:11">
      <c r="A192" s="11"/>
      <c r="B192" s="12"/>
      <c r="C192" s="11"/>
      <c r="D192" s="54" t="s">
        <v>47</v>
      </c>
      <c r="E192" s="12" t="s">
        <v>248</v>
      </c>
      <c r="F192" s="54"/>
      <c r="G192" s="58" t="s">
        <v>249</v>
      </c>
      <c r="H192" s="12"/>
      <c r="I192" s="54">
        <v>5</v>
      </c>
      <c r="J192" s="12"/>
      <c r="K192" s="14">
        <v>0.5</v>
      </c>
    </row>
    <row r="193" ht="16" customHeight="1" spans="1:14">
      <c r="A193" s="11"/>
      <c r="B193" s="12"/>
      <c r="C193" s="11"/>
      <c r="D193" s="54" t="s">
        <v>47</v>
      </c>
      <c r="E193" s="12" t="s">
        <v>250</v>
      </c>
      <c r="F193" s="54"/>
      <c r="G193" s="58" t="s">
        <v>251</v>
      </c>
      <c r="H193" s="12"/>
      <c r="I193" s="54">
        <v>6</v>
      </c>
      <c r="J193" s="12"/>
      <c r="K193" s="14">
        <v>2.5</v>
      </c>
    </row>
    <row r="194" ht="16" customHeight="1" spans="1:14">
      <c r="A194" s="11"/>
      <c r="B194" s="12"/>
      <c r="C194" s="11"/>
      <c r="D194" s="11"/>
      <c r="E194" s="59"/>
      <c r="F194" s="11"/>
      <c r="G194" s="55"/>
      <c r="H194" s="12"/>
      <c r="I194" s="11"/>
      <c r="J194" s="11"/>
      <c r="K194" s="14"/>
    </row>
    <row r="195" ht="14" customHeight="1" spans="1:14">
      <c r="A195" s="11"/>
      <c r="B195" s="12"/>
      <c r="C195" s="11"/>
      <c r="D195" s="11"/>
      <c r="E195" s="12"/>
      <c r="F195" s="11"/>
      <c r="G195" s="12"/>
      <c r="H195" s="12"/>
      <c r="I195" s="11"/>
      <c r="J195" s="11"/>
      <c r="K195" s="14"/>
    </row>
    <row r="196" ht="71" customHeight="1" spans="1:14">
      <c r="A196" s="24" t="s">
        <v>31</v>
      </c>
      <c r="B196" s="24" t="s">
        <v>32</v>
      </c>
      <c r="C196" s="24" t="s">
        <v>33</v>
      </c>
      <c r="D196" s="24" t="s">
        <v>34</v>
      </c>
      <c r="E196" s="24" t="s">
        <v>35</v>
      </c>
      <c r="F196" s="24" t="s">
        <v>36</v>
      </c>
      <c r="G196" s="24" t="s">
        <v>37</v>
      </c>
      <c r="H196" s="24" t="s">
        <v>38</v>
      </c>
      <c r="I196" s="24" t="s">
        <v>39</v>
      </c>
      <c r="J196" s="24" t="s">
        <v>40</v>
      </c>
      <c r="K196" s="24" t="s">
        <v>41</v>
      </c>
      <c r="L196" s="29" t="s">
        <v>252</v>
      </c>
      <c r="M196" s="30" t="s">
        <v>43</v>
      </c>
      <c r="N196" s="31">
        <f>SUM(K197:K235)</f>
        <v>25</v>
      </c>
    </row>
    <row r="197" spans="1:14">
      <c r="A197" s="11" t="s">
        <v>253</v>
      </c>
      <c r="B197" s="12" t="s">
        <v>112</v>
      </c>
      <c r="C197" s="34" t="s">
        <v>46</v>
      </c>
      <c r="D197" s="11"/>
      <c r="E197" s="12" t="s">
        <v>254</v>
      </c>
      <c r="F197" s="11" t="s">
        <v>254</v>
      </c>
      <c r="G197" s="60"/>
      <c r="H197" s="12" t="s">
        <v>254</v>
      </c>
      <c r="I197" s="11"/>
      <c r="J197" s="11"/>
      <c r="K197" s="14"/>
    </row>
    <row r="198" ht="61" spans="1:14">
      <c r="A198" s="11"/>
      <c r="B198" s="12"/>
      <c r="C198" s="11"/>
      <c r="D198" s="11" t="s">
        <v>47</v>
      </c>
      <c r="E198" s="12" t="s">
        <v>255</v>
      </c>
      <c r="F198" s="11"/>
      <c r="G198" s="60" t="s">
        <v>256</v>
      </c>
      <c r="H198" s="12"/>
      <c r="I198" s="11"/>
      <c r="J198" s="11"/>
      <c r="K198" s="14">
        <v>0.2</v>
      </c>
    </row>
    <row r="199" ht="289" spans="1:14">
      <c r="A199" s="11"/>
      <c r="B199" s="12"/>
      <c r="C199" s="11"/>
      <c r="D199" s="11" t="s">
        <v>47</v>
      </c>
      <c r="E199" s="60" t="s">
        <v>257</v>
      </c>
      <c r="F199" s="11"/>
      <c r="G199" s="60" t="s">
        <v>258</v>
      </c>
      <c r="H199" s="12"/>
      <c r="I199" s="11"/>
      <c r="J199" s="11"/>
      <c r="K199" s="14">
        <v>1.3</v>
      </c>
    </row>
    <row r="200" ht="107" spans="1:14">
      <c r="A200" s="11"/>
      <c r="B200" s="12"/>
      <c r="C200" s="11"/>
      <c r="D200" s="11" t="s">
        <v>47</v>
      </c>
      <c r="E200" s="60" t="s">
        <v>259</v>
      </c>
      <c r="F200" s="11"/>
      <c r="G200" s="60" t="s">
        <v>260</v>
      </c>
      <c r="H200" s="12"/>
      <c r="I200" s="11"/>
      <c r="J200" s="11"/>
      <c r="K200" s="14">
        <v>0.4</v>
      </c>
    </row>
    <row r="201" customFormat="1" ht="16" spans="1:14">
      <c r="A201" s="11"/>
      <c r="B201" s="12"/>
      <c r="C201" s="11"/>
      <c r="D201" s="11" t="s">
        <v>116</v>
      </c>
      <c r="E201" s="12" t="s">
        <v>261</v>
      </c>
      <c r="F201" s="11" t="s">
        <v>254</v>
      </c>
      <c r="G201" s="60" t="s">
        <v>254</v>
      </c>
      <c r="H201" s="12" t="s">
        <v>254</v>
      </c>
      <c r="I201" s="11"/>
      <c r="J201" s="11"/>
      <c r="K201" s="14">
        <v>0.1</v>
      </c>
    </row>
    <row r="202" customFormat="1" ht="16" spans="1:14">
      <c r="A202" s="11"/>
      <c r="B202" s="12"/>
      <c r="C202" s="11"/>
      <c r="D202" s="11" t="s">
        <v>254</v>
      </c>
      <c r="E202" s="12" t="s">
        <v>254</v>
      </c>
      <c r="F202" s="11">
        <v>0</v>
      </c>
      <c r="G202" s="60" t="s">
        <v>262</v>
      </c>
      <c r="H202" s="12" t="s">
        <v>254</v>
      </c>
      <c r="I202" s="11"/>
      <c r="J202" s="11"/>
      <c r="K202" s="14"/>
    </row>
    <row r="203" customFormat="1" ht="16" spans="1:14">
      <c r="A203" s="11"/>
      <c r="B203" s="12"/>
      <c r="C203" s="11"/>
      <c r="D203" s="11" t="s">
        <v>254</v>
      </c>
      <c r="E203" s="12" t="s">
        <v>254</v>
      </c>
      <c r="F203" s="11">
        <v>1</v>
      </c>
      <c r="G203" s="60" t="s">
        <v>263</v>
      </c>
      <c r="H203" s="12" t="s">
        <v>254</v>
      </c>
      <c r="I203" s="11"/>
      <c r="J203" s="11"/>
      <c r="K203" s="14"/>
    </row>
    <row r="204" customFormat="1" ht="31" spans="1:14">
      <c r="A204" s="11"/>
      <c r="B204" s="12"/>
      <c r="C204" s="11"/>
      <c r="D204" s="11" t="s">
        <v>254</v>
      </c>
      <c r="E204" s="12" t="s">
        <v>254</v>
      </c>
      <c r="F204" s="11">
        <v>2</v>
      </c>
      <c r="G204" s="60" t="s">
        <v>264</v>
      </c>
      <c r="H204" s="12" t="s">
        <v>254</v>
      </c>
      <c r="I204" s="11"/>
      <c r="J204" s="11"/>
      <c r="K204" s="14"/>
    </row>
    <row r="205" customFormat="1" ht="31" spans="1:14">
      <c r="A205" s="11"/>
      <c r="B205" s="12"/>
      <c r="C205" s="11"/>
      <c r="D205" s="11" t="s">
        <v>254</v>
      </c>
      <c r="E205" s="12" t="s">
        <v>254</v>
      </c>
      <c r="F205" s="11">
        <v>3</v>
      </c>
      <c r="G205" s="60" t="s">
        <v>265</v>
      </c>
      <c r="H205" s="12" t="s">
        <v>254</v>
      </c>
      <c r="I205" s="11"/>
      <c r="J205" s="11"/>
      <c r="K205" s="14"/>
    </row>
    <row r="206" customFormat="1" spans="1:14">
      <c r="A206" s="11"/>
      <c r="B206" s="12"/>
      <c r="C206" s="11"/>
      <c r="D206" s="11"/>
      <c r="E206" s="12"/>
      <c r="F206" s="11"/>
      <c r="G206" s="12"/>
      <c r="H206" s="12"/>
      <c r="I206" s="11"/>
      <c r="J206" s="11"/>
      <c r="K206" s="14"/>
    </row>
    <row r="207" spans="1:14">
      <c r="A207" s="11" t="s">
        <v>266</v>
      </c>
      <c r="B207" s="12" t="s">
        <v>267</v>
      </c>
      <c r="C207" s="34" t="s">
        <v>46</v>
      </c>
      <c r="D207" s="11"/>
      <c r="E207" s="60"/>
      <c r="F207" s="11"/>
      <c r="G207" s="60"/>
      <c r="H207" s="12"/>
      <c r="I207" s="11"/>
      <c r="J207" s="11"/>
      <c r="K207" s="14"/>
    </row>
    <row r="208" ht="320" spans="1:14">
      <c r="A208" s="11"/>
      <c r="B208" s="12"/>
      <c r="C208" s="11"/>
      <c r="D208" s="11" t="s">
        <v>47</v>
      </c>
      <c r="E208" s="60" t="s">
        <v>268</v>
      </c>
      <c r="F208" s="11"/>
      <c r="G208" s="60" t="s">
        <v>269</v>
      </c>
      <c r="H208" s="12"/>
      <c r="I208" s="11"/>
      <c r="J208" s="11"/>
      <c r="K208" s="14">
        <v>1.4</v>
      </c>
    </row>
    <row r="209" ht="350" spans="1:11">
      <c r="A209" s="11"/>
      <c r="B209" s="12"/>
      <c r="C209" s="11"/>
      <c r="D209" s="11" t="s">
        <v>47</v>
      </c>
      <c r="E209" s="60" t="s">
        <v>270</v>
      </c>
      <c r="F209" s="11"/>
      <c r="G209" s="60" t="s">
        <v>271</v>
      </c>
      <c r="H209" s="12"/>
      <c r="I209" s="11"/>
      <c r="J209" s="11"/>
      <c r="K209" s="14">
        <v>0.6</v>
      </c>
    </row>
    <row r="210" spans="1:11">
      <c r="A210" s="11" t="s">
        <v>272</v>
      </c>
      <c r="B210" s="12" t="s">
        <v>273</v>
      </c>
      <c r="C210" s="34" t="s">
        <v>46</v>
      </c>
      <c r="D210" s="11"/>
      <c r="E210" s="60"/>
      <c r="F210" s="11"/>
      <c r="G210" s="60"/>
      <c r="H210" s="12"/>
      <c r="I210" s="11"/>
      <c r="J210" s="11"/>
      <c r="K210" s="14"/>
    </row>
    <row r="211" ht="304" spans="1:11">
      <c r="A211" s="11"/>
      <c r="B211" s="12"/>
      <c r="C211" s="11"/>
      <c r="D211" s="11" t="s">
        <v>47</v>
      </c>
      <c r="E211" s="60" t="s">
        <v>274</v>
      </c>
      <c r="F211" s="11"/>
      <c r="G211" s="60" t="s">
        <v>275</v>
      </c>
      <c r="H211" s="12"/>
      <c r="I211" s="11"/>
      <c r="J211" s="11"/>
      <c r="K211" s="14">
        <v>1.5</v>
      </c>
    </row>
    <row r="212" ht="380" spans="1:11">
      <c r="A212" s="11"/>
      <c r="B212" s="12"/>
      <c r="C212" s="11"/>
      <c r="D212" s="11" t="s">
        <v>47</v>
      </c>
      <c r="E212" s="60" t="s">
        <v>276</v>
      </c>
      <c r="F212" s="11"/>
      <c r="G212" s="60" t="s">
        <v>277</v>
      </c>
      <c r="H212" s="12"/>
      <c r="I212" s="11"/>
      <c r="J212" s="11"/>
      <c r="K212" s="14">
        <v>1.3</v>
      </c>
    </row>
    <row r="213" spans="1:11">
      <c r="A213" s="11" t="s">
        <v>278</v>
      </c>
      <c r="B213" s="12" t="s">
        <v>279</v>
      </c>
      <c r="C213" s="34" t="s">
        <v>46</v>
      </c>
      <c r="D213" s="11"/>
      <c r="E213" s="60"/>
      <c r="F213" s="11"/>
      <c r="G213" s="60"/>
      <c r="H213" s="12"/>
      <c r="I213" s="11"/>
      <c r="J213" s="11"/>
      <c r="K213" s="14"/>
    </row>
    <row r="214" ht="409.5" spans="1:11">
      <c r="A214" s="11"/>
      <c r="B214" s="12"/>
      <c r="C214" s="11"/>
      <c r="D214" s="11" t="s">
        <v>47</v>
      </c>
      <c r="E214" s="60" t="s">
        <v>280</v>
      </c>
      <c r="F214" s="11"/>
      <c r="G214" s="60" t="s">
        <v>281</v>
      </c>
      <c r="H214" s="12"/>
      <c r="I214" s="11"/>
      <c r="J214" s="11"/>
      <c r="K214" s="14">
        <v>2.5</v>
      </c>
    </row>
    <row r="215" ht="409.5" spans="1:11">
      <c r="A215" s="11"/>
      <c r="B215" s="12"/>
      <c r="C215" s="11"/>
      <c r="D215" s="11" t="s">
        <v>47</v>
      </c>
      <c r="E215" s="60" t="s">
        <v>282</v>
      </c>
      <c r="F215" s="11"/>
      <c r="G215" s="60" t="s">
        <v>283</v>
      </c>
      <c r="H215" s="12"/>
      <c r="I215" s="11"/>
      <c r="J215" s="11"/>
      <c r="K215" s="14">
        <v>1.8</v>
      </c>
    </row>
    <row r="216" ht="289" spans="1:11">
      <c r="A216" s="11"/>
      <c r="B216" s="12"/>
      <c r="C216" s="11"/>
      <c r="D216" s="11" t="s">
        <v>47</v>
      </c>
      <c r="E216" s="60" t="s">
        <v>284</v>
      </c>
      <c r="F216" s="11"/>
      <c r="G216" s="60" t="s">
        <v>285</v>
      </c>
      <c r="H216" s="12"/>
      <c r="I216" s="11"/>
      <c r="J216" s="11"/>
      <c r="K216" s="14">
        <v>1</v>
      </c>
    </row>
    <row r="217" ht="320" spans="1:11">
      <c r="A217" s="11"/>
      <c r="B217" s="12"/>
      <c r="C217" s="11"/>
      <c r="D217" s="11" t="s">
        <v>47</v>
      </c>
      <c r="E217" s="60" t="s">
        <v>286</v>
      </c>
      <c r="F217" s="11"/>
      <c r="G217" s="60" t="s">
        <v>287</v>
      </c>
      <c r="H217" s="12"/>
      <c r="I217" s="11"/>
      <c r="J217" s="11"/>
      <c r="K217" s="14">
        <v>1</v>
      </c>
    </row>
    <row r="218" ht="122" spans="1:11">
      <c r="A218" s="11"/>
      <c r="B218" s="12"/>
      <c r="C218" s="11"/>
      <c r="D218" s="11" t="s">
        <v>47</v>
      </c>
      <c r="E218" s="60" t="s">
        <v>288</v>
      </c>
      <c r="F218" s="11"/>
      <c r="G218" s="60" t="s">
        <v>289</v>
      </c>
      <c r="H218" s="12"/>
      <c r="I218" s="11"/>
      <c r="J218" s="11"/>
      <c r="K218" s="14">
        <v>0.5</v>
      </c>
    </row>
    <row r="219" ht="168" spans="1:11">
      <c r="A219" s="11"/>
      <c r="B219" s="12"/>
      <c r="C219" s="11"/>
      <c r="D219" s="11" t="s">
        <v>47</v>
      </c>
      <c r="E219" s="60" t="s">
        <v>290</v>
      </c>
      <c r="F219" s="11"/>
      <c r="G219" s="60" t="s">
        <v>291</v>
      </c>
      <c r="H219" s="12"/>
      <c r="I219" s="11"/>
      <c r="J219" s="11"/>
      <c r="K219" s="14">
        <v>1</v>
      </c>
    </row>
    <row r="220" spans="1:11">
      <c r="A220" s="11" t="s">
        <v>292</v>
      </c>
      <c r="B220" s="12" t="s">
        <v>293</v>
      </c>
      <c r="C220" s="34" t="s">
        <v>46</v>
      </c>
      <c r="D220" s="11"/>
      <c r="E220" s="60"/>
      <c r="F220" s="11"/>
      <c r="G220" s="60"/>
      <c r="H220" s="12"/>
      <c r="I220" s="11"/>
      <c r="J220" s="11"/>
      <c r="K220" s="14"/>
    </row>
    <row r="221" ht="350" spans="1:11">
      <c r="A221" s="11"/>
      <c r="B221" s="12"/>
      <c r="C221" s="11"/>
      <c r="D221" s="11" t="s">
        <v>47</v>
      </c>
      <c r="E221" s="60" t="s">
        <v>294</v>
      </c>
      <c r="F221" s="11"/>
      <c r="G221" s="60" t="s">
        <v>295</v>
      </c>
      <c r="H221" s="12"/>
      <c r="I221" s="11"/>
      <c r="J221" s="11"/>
      <c r="K221" s="14">
        <v>1.5</v>
      </c>
    </row>
    <row r="222" ht="409.5" spans="1:11">
      <c r="A222" s="11"/>
      <c r="B222" s="12"/>
      <c r="C222" s="11"/>
      <c r="D222" s="11" t="s">
        <v>47</v>
      </c>
      <c r="E222" s="60" t="s">
        <v>296</v>
      </c>
      <c r="F222" s="11"/>
      <c r="G222" s="60" t="s">
        <v>297</v>
      </c>
      <c r="H222" s="12"/>
      <c r="I222" s="11"/>
      <c r="J222" s="11"/>
      <c r="K222" s="14">
        <v>1.2</v>
      </c>
    </row>
    <row r="223" spans="1:11">
      <c r="A223" s="11" t="s">
        <v>298</v>
      </c>
      <c r="B223" s="12" t="s">
        <v>299</v>
      </c>
      <c r="C223" s="34" t="s">
        <v>46</v>
      </c>
      <c r="D223" s="11"/>
      <c r="E223" s="60"/>
      <c r="F223" s="11"/>
      <c r="G223" s="60"/>
      <c r="H223" s="12"/>
      <c r="I223" s="11"/>
      <c r="J223" s="11"/>
      <c r="K223" s="14"/>
    </row>
    <row r="224" ht="320" spans="1:11">
      <c r="A224" s="11"/>
      <c r="B224" s="12"/>
      <c r="C224" s="11"/>
      <c r="D224" s="11" t="s">
        <v>47</v>
      </c>
      <c r="E224" s="60" t="s">
        <v>300</v>
      </c>
      <c r="F224" s="11"/>
      <c r="G224" s="60" t="s">
        <v>301</v>
      </c>
      <c r="H224" s="12"/>
      <c r="I224" s="11"/>
      <c r="J224" s="11"/>
      <c r="K224" s="14">
        <v>1.2</v>
      </c>
    </row>
    <row r="225" ht="289" spans="1:14">
      <c r="A225" s="11"/>
      <c r="B225" s="12"/>
      <c r="C225" s="11"/>
      <c r="D225" s="11" t="s">
        <v>47</v>
      </c>
      <c r="E225" s="60" t="s">
        <v>302</v>
      </c>
      <c r="F225" s="11"/>
      <c r="G225" s="60" t="s">
        <v>303</v>
      </c>
      <c r="H225" s="12"/>
      <c r="I225" s="11"/>
      <c r="J225" s="11"/>
      <c r="K225" s="14">
        <v>0.6</v>
      </c>
    </row>
    <row r="226" spans="1:14">
      <c r="A226" s="11" t="s">
        <v>304</v>
      </c>
      <c r="B226" s="12" t="s">
        <v>305</v>
      </c>
      <c r="C226" s="34" t="s">
        <v>46</v>
      </c>
      <c r="D226" s="11"/>
      <c r="E226" s="60"/>
      <c r="F226" s="11"/>
      <c r="G226" s="60"/>
      <c r="H226" s="12"/>
      <c r="I226" s="11"/>
      <c r="J226" s="11"/>
      <c r="K226" s="14"/>
    </row>
    <row r="227" ht="304" spans="1:14">
      <c r="A227" s="11"/>
      <c r="B227" s="12"/>
      <c r="C227" s="11"/>
      <c r="D227" s="11" t="s">
        <v>47</v>
      </c>
      <c r="E227" s="60" t="s">
        <v>306</v>
      </c>
      <c r="F227" s="11"/>
      <c r="G227" s="60" t="s">
        <v>307</v>
      </c>
      <c r="H227" s="12"/>
      <c r="I227" s="11"/>
      <c r="J227" s="11"/>
      <c r="K227" s="14">
        <v>1.2</v>
      </c>
    </row>
    <row r="228" ht="304" spans="1:14">
      <c r="A228" s="11"/>
      <c r="B228" s="12"/>
      <c r="C228" s="11"/>
      <c r="D228" s="11" t="s">
        <v>47</v>
      </c>
      <c r="E228" s="60" t="s">
        <v>308</v>
      </c>
      <c r="F228" s="11"/>
      <c r="G228" s="60" t="s">
        <v>309</v>
      </c>
      <c r="H228" s="12"/>
      <c r="I228" s="11"/>
      <c r="J228" s="11"/>
      <c r="K228" s="14">
        <v>0.6</v>
      </c>
    </row>
    <row r="229" spans="1:14">
      <c r="A229" s="11" t="s">
        <v>310</v>
      </c>
      <c r="B229" s="12" t="s">
        <v>311</v>
      </c>
      <c r="C229" s="34" t="s">
        <v>46</v>
      </c>
      <c r="D229" s="11"/>
      <c r="E229" s="60"/>
      <c r="F229" s="11"/>
      <c r="G229" s="60"/>
      <c r="H229" s="12"/>
      <c r="I229" s="11"/>
      <c r="J229" s="11"/>
      <c r="K229" s="14"/>
    </row>
    <row r="230" ht="350" spans="1:14">
      <c r="A230" s="11"/>
      <c r="B230" s="12"/>
      <c r="C230" s="11"/>
      <c r="D230" s="11" t="s">
        <v>47</v>
      </c>
      <c r="E230" s="60" t="s">
        <v>312</v>
      </c>
      <c r="F230" s="11"/>
      <c r="G230" s="60" t="s">
        <v>313</v>
      </c>
      <c r="H230" s="12"/>
      <c r="I230" s="11"/>
      <c r="J230" s="11"/>
      <c r="K230" s="14">
        <v>1.5</v>
      </c>
    </row>
    <row r="231" ht="304" spans="1:14">
      <c r="A231" s="11"/>
      <c r="B231" s="12"/>
      <c r="C231" s="11"/>
      <c r="D231" s="11" t="s">
        <v>47</v>
      </c>
      <c r="E231" s="60" t="s">
        <v>314</v>
      </c>
      <c r="F231" s="11"/>
      <c r="G231" s="60" t="s">
        <v>315</v>
      </c>
      <c r="H231" s="12"/>
      <c r="I231" s="11"/>
      <c r="J231" s="11"/>
      <c r="K231" s="14">
        <v>0.6</v>
      </c>
    </row>
    <row r="232" spans="1:14">
      <c r="A232" s="11" t="s">
        <v>316</v>
      </c>
      <c r="B232" s="12" t="s">
        <v>317</v>
      </c>
      <c r="C232" s="34" t="s">
        <v>46</v>
      </c>
      <c r="D232" s="11"/>
      <c r="E232" s="60"/>
      <c r="F232" s="11"/>
      <c r="G232" s="60"/>
      <c r="H232" s="12"/>
      <c r="I232" s="11"/>
      <c r="J232" s="11"/>
      <c r="K232" s="14"/>
    </row>
    <row r="233" ht="335" spans="1:14">
      <c r="A233" s="11"/>
      <c r="B233" s="12"/>
      <c r="C233" s="11"/>
      <c r="D233" s="11" t="s">
        <v>47</v>
      </c>
      <c r="E233" s="60" t="s">
        <v>318</v>
      </c>
      <c r="F233" s="11"/>
      <c r="G233" s="60" t="s">
        <v>319</v>
      </c>
      <c r="H233" s="12"/>
      <c r="I233" s="11"/>
      <c r="J233" s="11"/>
      <c r="K233" s="14">
        <v>1.4</v>
      </c>
    </row>
    <row r="234" ht="304" spans="1:14">
      <c r="A234" s="11"/>
      <c r="B234" s="12"/>
      <c r="C234" s="11"/>
      <c r="D234" s="11" t="s">
        <v>47</v>
      </c>
      <c r="E234" s="60" t="s">
        <v>320</v>
      </c>
      <c r="F234" s="11"/>
      <c r="G234" s="60" t="s">
        <v>321</v>
      </c>
      <c r="H234" s="12"/>
      <c r="I234" s="11"/>
      <c r="J234" s="11"/>
      <c r="K234" s="14">
        <v>0.6</v>
      </c>
    </row>
    <row r="235" ht="14" customHeight="1" spans="1:14">
      <c r="A235" s="11"/>
      <c r="B235" s="12"/>
      <c r="C235" s="11"/>
      <c r="D235" s="11"/>
      <c r="E235" s="12"/>
      <c r="F235" s="11"/>
      <c r="G235" s="12"/>
      <c r="H235" s="12"/>
      <c r="I235" s="11"/>
      <c r="J235" s="11"/>
      <c r="K235" s="14"/>
    </row>
    <row r="236" ht="71" customHeight="1" spans="1:14">
      <c r="A236" s="24" t="s">
        <v>31</v>
      </c>
      <c r="B236" s="24" t="s">
        <v>32</v>
      </c>
      <c r="C236" s="24" t="s">
        <v>33</v>
      </c>
      <c r="D236" s="24" t="s">
        <v>34</v>
      </c>
      <c r="E236" s="24" t="s">
        <v>35</v>
      </c>
      <c r="F236" s="24" t="s">
        <v>36</v>
      </c>
      <c r="G236" s="24" t="s">
        <v>37</v>
      </c>
      <c r="H236" s="24" t="s">
        <v>38</v>
      </c>
      <c r="I236" s="24" t="s">
        <v>39</v>
      </c>
      <c r="J236" s="24" t="s">
        <v>40</v>
      </c>
      <c r="K236" s="24" t="s">
        <v>41</v>
      </c>
      <c r="L236" s="29" t="s">
        <v>322</v>
      </c>
      <c r="M236" s="30" t="s">
        <v>43</v>
      </c>
      <c r="N236" s="31">
        <f>SUM(K237:K243)</f>
        <v>0</v>
      </c>
    </row>
    <row r="237" spans="1:14">
      <c r="A237" s="11"/>
      <c r="B237" s="12"/>
      <c r="C237" s="11"/>
      <c r="D237" s="54"/>
      <c r="E237" s="12"/>
      <c r="F237" s="12"/>
      <c r="G237" s="12"/>
      <c r="H237" s="12"/>
      <c r="I237" s="12"/>
      <c r="J237" s="12"/>
      <c r="K237" s="12"/>
    </row>
    <row r="238" spans="1:14">
      <c r="A238" s="11"/>
      <c r="B238" s="12"/>
      <c r="C238" s="11"/>
      <c r="D238" s="11"/>
      <c r="E238" s="12"/>
      <c r="F238" s="11"/>
      <c r="G238" s="12"/>
      <c r="H238" s="12"/>
      <c r="I238" s="11"/>
      <c r="J238" s="11"/>
      <c r="K238" s="14"/>
    </row>
    <row r="239" spans="1:14">
      <c r="A239" s="11"/>
      <c r="B239" s="12"/>
      <c r="C239" s="11"/>
      <c r="D239" s="11"/>
      <c r="E239" s="12"/>
      <c r="F239" s="11"/>
      <c r="G239" s="12"/>
      <c r="H239" s="12"/>
      <c r="I239" s="11"/>
      <c r="J239" s="11"/>
      <c r="K239" s="14"/>
    </row>
    <row r="240" spans="1:14">
      <c r="A240" s="11"/>
      <c r="B240" s="12"/>
      <c r="C240" s="11"/>
      <c r="D240" s="11"/>
      <c r="E240" s="12"/>
      <c r="F240" s="11"/>
      <c r="G240" s="12"/>
      <c r="H240" s="12"/>
      <c r="I240" s="11"/>
      <c r="J240" s="11"/>
      <c r="K240" s="14"/>
    </row>
    <row r="241" spans="1:14">
      <c r="A241" s="11"/>
      <c r="B241" s="12"/>
      <c r="C241" s="11"/>
      <c r="D241" s="54"/>
      <c r="E241" s="12"/>
      <c r="F241" s="12"/>
      <c r="G241" s="12"/>
      <c r="H241" s="12"/>
      <c r="I241" s="12"/>
      <c r="J241" s="12"/>
      <c r="K241" s="12"/>
    </row>
    <row r="242" spans="1:14">
      <c r="A242" s="11"/>
      <c r="B242" s="12"/>
      <c r="C242" s="11"/>
      <c r="D242" s="11"/>
      <c r="E242" s="12"/>
      <c r="F242" s="11"/>
      <c r="G242" s="12"/>
      <c r="H242" s="12"/>
      <c r="I242" s="11"/>
      <c r="J242" s="11"/>
      <c r="K242" s="14"/>
    </row>
    <row r="243" ht="14" customHeight="1" spans="1:14">
      <c r="A243" s="11"/>
      <c r="B243" s="12"/>
      <c r="C243" s="11"/>
      <c r="D243" s="11"/>
      <c r="E243" s="12"/>
      <c r="F243" s="11"/>
      <c r="G243" s="12"/>
      <c r="H243" s="12"/>
      <c r="I243" s="11"/>
      <c r="J243" s="11"/>
      <c r="K243" s="14"/>
    </row>
    <row r="244" ht="71" customHeight="1" spans="1:14">
      <c r="A244" s="24" t="s">
        <v>31</v>
      </c>
      <c r="B244" s="24" t="s">
        <v>32</v>
      </c>
      <c r="C244" s="24" t="s">
        <v>33</v>
      </c>
      <c r="D244" s="24" t="s">
        <v>34</v>
      </c>
      <c r="E244" s="24" t="s">
        <v>35</v>
      </c>
      <c r="F244" s="24" t="s">
        <v>36</v>
      </c>
      <c r="G244" s="24" t="s">
        <v>37</v>
      </c>
      <c r="H244" s="24" t="s">
        <v>38</v>
      </c>
      <c r="I244" s="24" t="s">
        <v>39</v>
      </c>
      <c r="J244" s="24" t="s">
        <v>40</v>
      </c>
      <c r="K244" s="24" t="s">
        <v>41</v>
      </c>
      <c r="L244" s="29" t="s">
        <v>323</v>
      </c>
      <c r="M244" s="30" t="s">
        <v>43</v>
      </c>
      <c r="N244" s="31">
        <f>SUM(K245:K251)</f>
        <v>0</v>
      </c>
    </row>
    <row r="245" spans="1:14">
      <c r="A245" s="11"/>
      <c r="B245" s="12"/>
      <c r="C245" s="11"/>
      <c r="D245" s="54"/>
      <c r="E245" s="12"/>
      <c r="F245" s="12"/>
      <c r="G245" s="12"/>
      <c r="H245" s="12"/>
      <c r="I245" s="12"/>
      <c r="J245" s="12"/>
      <c r="K245" s="12"/>
    </row>
    <row r="246" spans="1:14">
      <c r="A246" s="11"/>
      <c r="B246" s="12"/>
      <c r="C246" s="11"/>
      <c r="D246" s="11"/>
      <c r="E246" s="12"/>
      <c r="F246" s="11"/>
      <c r="G246" s="12"/>
      <c r="H246" s="12"/>
      <c r="I246" s="11"/>
      <c r="J246" s="11"/>
      <c r="K246" s="14"/>
    </row>
    <row r="247" spans="1:14">
      <c r="A247" s="11"/>
      <c r="B247" s="12"/>
      <c r="C247" s="11"/>
      <c r="D247" s="11"/>
      <c r="E247" s="12"/>
      <c r="F247" s="11"/>
      <c r="G247" s="12"/>
      <c r="H247" s="12"/>
      <c r="I247" s="11"/>
      <c r="J247" s="11"/>
      <c r="K247" s="14"/>
    </row>
    <row r="248" spans="1:14">
      <c r="A248" s="11"/>
      <c r="B248" s="12"/>
      <c r="C248" s="11"/>
      <c r="D248" s="11"/>
      <c r="E248" s="12"/>
      <c r="F248" s="11"/>
      <c r="G248" s="12"/>
      <c r="H248" s="12"/>
      <c r="I248" s="11"/>
      <c r="J248" s="11"/>
      <c r="K248" s="14"/>
    </row>
    <row r="249" spans="1:14">
      <c r="A249" s="11"/>
      <c r="B249" s="12"/>
      <c r="C249" s="11"/>
      <c r="D249" s="54"/>
      <c r="E249" s="12"/>
      <c r="F249" s="12"/>
      <c r="G249" s="12"/>
      <c r="H249" s="12"/>
      <c r="I249" s="12"/>
      <c r="J249" s="12"/>
      <c r="K249" s="12"/>
    </row>
    <row r="250" spans="1:14">
      <c r="A250" s="11"/>
      <c r="B250" s="12"/>
      <c r="C250" s="11"/>
      <c r="D250" s="11"/>
      <c r="E250" s="12"/>
      <c r="F250" s="11"/>
      <c r="G250" s="12"/>
      <c r="H250" s="12"/>
      <c r="I250" s="11"/>
      <c r="J250" s="11"/>
      <c r="K250" s="14"/>
    </row>
    <row r="251" ht="14" customHeight="1" spans="1:14">
      <c r="A251" s="11"/>
      <c r="B251" s="12"/>
      <c r="C251" s="11"/>
      <c r="D251" s="11"/>
      <c r="E251" s="12"/>
      <c r="F251" s="11"/>
      <c r="G251" s="12"/>
      <c r="H251" s="12"/>
      <c r="I251" s="11"/>
      <c r="J251" s="11"/>
      <c r="K251" s="14"/>
    </row>
    <row r="252" ht="71" customHeight="1" spans="1:14">
      <c r="A252" s="24" t="s">
        <v>31</v>
      </c>
      <c r="B252" s="24" t="s">
        <v>32</v>
      </c>
      <c r="C252" s="24" t="s">
        <v>33</v>
      </c>
      <c r="D252" s="24" t="s">
        <v>34</v>
      </c>
      <c r="E252" s="24" t="s">
        <v>35</v>
      </c>
      <c r="F252" s="24" t="s">
        <v>36</v>
      </c>
      <c r="G252" s="24" t="s">
        <v>37</v>
      </c>
      <c r="H252" s="24" t="s">
        <v>38</v>
      </c>
      <c r="I252" s="24" t="s">
        <v>39</v>
      </c>
      <c r="J252" s="24" t="s">
        <v>40</v>
      </c>
      <c r="K252" s="24" t="s">
        <v>41</v>
      </c>
      <c r="L252" s="29" t="s">
        <v>324</v>
      </c>
      <c r="M252" s="30" t="s">
        <v>43</v>
      </c>
      <c r="N252" s="31">
        <f>SUM(K253:K259)</f>
        <v>0</v>
      </c>
    </row>
    <row r="253" spans="1:14">
      <c r="A253" s="11"/>
      <c r="B253" s="12"/>
      <c r="C253" s="11"/>
      <c r="D253" s="54"/>
      <c r="E253" s="12"/>
      <c r="F253" s="12"/>
      <c r="G253" s="12"/>
      <c r="H253" s="12"/>
      <c r="I253" s="12"/>
      <c r="J253" s="12"/>
      <c r="K253" s="12"/>
    </row>
    <row r="254" spans="1:14">
      <c r="A254" s="11"/>
      <c r="B254" s="12"/>
      <c r="C254" s="11"/>
      <c r="D254" s="11"/>
      <c r="E254" s="12"/>
      <c r="F254" s="11"/>
      <c r="G254" s="12"/>
      <c r="H254" s="12"/>
      <c r="I254" s="11"/>
      <c r="J254" s="11"/>
      <c r="K254" s="14"/>
    </row>
    <row r="255" spans="1:14">
      <c r="A255" s="11"/>
      <c r="B255" s="12"/>
      <c r="C255" s="11"/>
      <c r="D255" s="11"/>
      <c r="E255" s="12"/>
      <c r="F255" s="11"/>
      <c r="G255" s="12"/>
      <c r="H255" s="12"/>
      <c r="I255" s="11"/>
      <c r="J255" s="11"/>
      <c r="K255" s="14"/>
    </row>
    <row r="256" spans="1:14">
      <c r="A256" s="11"/>
      <c r="B256" s="12"/>
      <c r="C256" s="11"/>
      <c r="D256" s="11"/>
      <c r="E256" s="12"/>
      <c r="F256" s="11"/>
      <c r="G256" s="12"/>
      <c r="H256" s="12"/>
      <c r="I256" s="11"/>
      <c r="J256" s="11"/>
      <c r="K256" s="14"/>
    </row>
    <row r="257" spans="1:14">
      <c r="A257" s="11"/>
      <c r="B257" s="12"/>
      <c r="C257" s="11"/>
      <c r="D257" s="11"/>
      <c r="E257" s="12"/>
      <c r="F257" s="11"/>
      <c r="G257" s="12"/>
      <c r="H257" s="12"/>
      <c r="I257" s="11"/>
      <c r="J257" s="11"/>
      <c r="K257" s="14"/>
    </row>
    <row r="258" spans="1:14">
      <c r="A258" s="11"/>
      <c r="B258" s="12"/>
      <c r="C258" s="11"/>
      <c r="D258" s="11"/>
      <c r="E258" s="12"/>
      <c r="F258" s="11"/>
      <c r="G258" s="12"/>
      <c r="H258" s="12"/>
      <c r="I258" s="11"/>
      <c r="J258" s="11"/>
      <c r="K258" s="14"/>
    </row>
    <row r="259" ht="14" customHeight="1" spans="1:14">
      <c r="A259" s="11"/>
      <c r="B259" s="12"/>
      <c r="C259" s="11"/>
      <c r="D259" s="11"/>
      <c r="E259" s="12"/>
      <c r="F259" s="11"/>
      <c r="G259" s="12"/>
      <c r="H259" s="12"/>
      <c r="I259" s="11"/>
      <c r="J259" s="11"/>
      <c r="K259" s="14"/>
    </row>
    <row r="260" ht="71" customHeight="1" spans="1:14">
      <c r="A260" s="24" t="s">
        <v>31</v>
      </c>
      <c r="B260" s="24" t="s">
        <v>32</v>
      </c>
      <c r="C260" s="24" t="s">
        <v>33</v>
      </c>
      <c r="D260" s="24" t="s">
        <v>34</v>
      </c>
      <c r="E260" s="24" t="s">
        <v>35</v>
      </c>
      <c r="F260" s="24" t="s">
        <v>36</v>
      </c>
      <c r="G260" s="24" t="s">
        <v>37</v>
      </c>
      <c r="H260" s="24" t="s">
        <v>38</v>
      </c>
      <c r="I260" s="24" t="s">
        <v>39</v>
      </c>
      <c r="J260" s="24" t="s">
        <v>40</v>
      </c>
      <c r="K260" s="24" t="s">
        <v>41</v>
      </c>
      <c r="L260" s="29" t="s">
        <v>325</v>
      </c>
      <c r="M260" s="30" t="s">
        <v>43</v>
      </c>
      <c r="N260" s="31">
        <f>SUM(K269:K275)</f>
        <v>0</v>
      </c>
    </row>
    <row r="261" spans="1:14">
      <c r="A261" s="11"/>
      <c r="B261" s="12"/>
      <c r="C261" s="11"/>
      <c r="D261" s="54"/>
      <c r="E261" s="12"/>
      <c r="F261" s="12"/>
      <c r="G261" s="12"/>
      <c r="H261" s="12"/>
      <c r="I261" s="12"/>
      <c r="J261" s="12"/>
      <c r="K261" s="12"/>
    </row>
    <row r="262" spans="1:14">
      <c r="A262" s="11"/>
      <c r="B262" s="12"/>
      <c r="C262" s="11"/>
      <c r="D262" s="11"/>
      <c r="E262" s="12"/>
      <c r="F262" s="11"/>
      <c r="G262" s="12"/>
      <c r="H262" s="12"/>
      <c r="I262" s="11"/>
      <c r="J262" s="11"/>
      <c r="K262" s="14"/>
    </row>
    <row r="263" spans="1:14">
      <c r="A263" s="11"/>
      <c r="B263" s="12"/>
      <c r="C263" s="11"/>
      <c r="D263" s="11"/>
      <c r="E263" s="12"/>
      <c r="F263" s="11"/>
      <c r="G263" s="12"/>
      <c r="H263" s="12"/>
      <c r="I263" s="11"/>
      <c r="J263" s="11"/>
      <c r="K263" s="14"/>
    </row>
    <row r="264" spans="1:14">
      <c r="A264" s="11"/>
      <c r="B264" s="12"/>
      <c r="C264" s="11"/>
      <c r="D264" s="54"/>
      <c r="E264" s="12"/>
      <c r="F264" s="12"/>
      <c r="G264" s="12"/>
      <c r="H264" s="12"/>
      <c r="I264" s="12"/>
      <c r="J264" s="12"/>
      <c r="K264" s="12"/>
    </row>
    <row r="265" spans="1:14">
      <c r="A265" s="11"/>
      <c r="B265" s="12"/>
      <c r="C265" s="11"/>
      <c r="D265" s="11"/>
      <c r="E265" s="12"/>
      <c r="F265" s="11"/>
      <c r="G265" s="12"/>
      <c r="H265" s="12"/>
      <c r="I265" s="11"/>
      <c r="J265" s="11"/>
      <c r="K265" s="14"/>
    </row>
    <row r="266" spans="1:14">
      <c r="A266" s="11"/>
      <c r="B266" s="12"/>
      <c r="C266" s="11"/>
      <c r="D266" s="54"/>
      <c r="E266" s="12"/>
      <c r="F266" s="12"/>
      <c r="G266" s="12"/>
      <c r="H266" s="12"/>
      <c r="I266" s="12"/>
      <c r="J266" s="12"/>
      <c r="K266" s="12"/>
    </row>
    <row r="267" ht="14" customHeight="1" spans="1:14">
      <c r="A267" s="11"/>
      <c r="B267" s="12"/>
      <c r="C267" s="11"/>
      <c r="D267" s="11"/>
      <c r="E267" s="12"/>
      <c r="F267" s="11"/>
      <c r="G267" s="12"/>
      <c r="H267" s="12"/>
      <c r="I267" s="11"/>
      <c r="J267" s="11"/>
      <c r="K267" s="14"/>
    </row>
    <row r="268" ht="71" customHeight="1" spans="1:14">
      <c r="A268" s="24" t="s">
        <v>31</v>
      </c>
      <c r="B268" s="24" t="s">
        <v>32</v>
      </c>
      <c r="C268" s="24" t="s">
        <v>33</v>
      </c>
      <c r="D268" s="24" t="s">
        <v>34</v>
      </c>
      <c r="E268" s="24" t="s">
        <v>35</v>
      </c>
      <c r="F268" s="24" t="s">
        <v>36</v>
      </c>
      <c r="G268" s="24" t="s">
        <v>37</v>
      </c>
      <c r="H268" s="24" t="s">
        <v>38</v>
      </c>
      <c r="I268" s="24" t="s">
        <v>39</v>
      </c>
      <c r="J268" s="24" t="s">
        <v>40</v>
      </c>
      <c r="K268" s="24" t="s">
        <v>41</v>
      </c>
      <c r="L268" s="29" t="s">
        <v>326</v>
      </c>
      <c r="M268" s="30" t="s">
        <v>43</v>
      </c>
      <c r="N268" s="31">
        <f>SUM(K269:K275)</f>
        <v>0</v>
      </c>
    </row>
    <row r="269" spans="1:14">
      <c r="A269" s="11"/>
      <c r="B269" s="12"/>
      <c r="C269" s="11"/>
      <c r="D269" s="11"/>
      <c r="E269" s="12"/>
      <c r="F269" s="11"/>
      <c r="G269" s="12"/>
      <c r="H269" s="12"/>
      <c r="I269" s="11"/>
      <c r="J269" s="11"/>
      <c r="K269" s="14"/>
    </row>
    <row r="270" spans="1:14">
      <c r="A270" s="54"/>
      <c r="B270" s="12"/>
      <c r="C270" s="54"/>
      <c r="D270" s="54"/>
      <c r="E270" s="12"/>
      <c r="F270" s="54"/>
      <c r="G270" s="12"/>
      <c r="H270" s="12"/>
      <c r="I270" s="54"/>
      <c r="J270" s="54"/>
      <c r="K270" s="14"/>
    </row>
    <row r="271" spans="1:14">
      <c r="A271" s="25"/>
      <c r="B271" s="25"/>
      <c r="C271" s="25"/>
      <c r="D271" s="61"/>
      <c r="E271" s="25"/>
      <c r="F271" s="25"/>
      <c r="G271" s="25"/>
      <c r="H271" s="25"/>
      <c r="I271" s="25"/>
      <c r="J271" s="25"/>
      <c r="K271" s="25"/>
    </row>
    <row r="272" spans="1:14">
      <c r="A272" s="61"/>
      <c r="B272" s="25"/>
      <c r="C272" s="61"/>
      <c r="D272" s="61"/>
      <c r="E272" s="25"/>
      <c r="F272" s="61"/>
      <c r="G272" s="25"/>
      <c r="H272" s="25"/>
      <c r="I272" s="61"/>
      <c r="J272" s="61"/>
      <c r="K272" s="62"/>
    </row>
    <row r="273" spans="1:14">
      <c r="A273" s="25"/>
      <c r="B273" s="25"/>
      <c r="C273" s="25"/>
      <c r="D273" s="61"/>
      <c r="E273" s="25"/>
      <c r="F273" s="25"/>
      <c r="G273" s="25"/>
      <c r="H273" s="25"/>
      <c r="I273" s="25"/>
      <c r="J273" s="25"/>
      <c r="K273" s="25"/>
    </row>
    <row r="274" spans="1:14">
      <c r="A274" s="61"/>
      <c r="B274" s="25"/>
      <c r="C274" s="61"/>
      <c r="D274" s="61"/>
      <c r="E274" s="25"/>
      <c r="F274" s="61"/>
      <c r="G274" s="25"/>
      <c r="H274" s="25"/>
      <c r="I274" s="61"/>
      <c r="J274" s="61"/>
      <c r="K274" s="62"/>
    </row>
    <row r="275" ht="14" customHeight="1" spans="1:14">
      <c r="A275" s="17"/>
      <c r="B275" s="17"/>
      <c r="C275" s="17"/>
      <c r="D275" s="63"/>
      <c r="E275" s="17"/>
      <c r="F275" s="17"/>
      <c r="G275" s="17"/>
      <c r="H275" s="17"/>
      <c r="I275" s="17"/>
      <c r="J275" s="17"/>
      <c r="K275" s="17"/>
    </row>
    <row r="278" ht="42" customHeight="1" spans="1:14">
      <c r="L278" s="29" t="s">
        <v>327</v>
      </c>
      <c r="M278" s="30" t="s">
        <v>43</v>
      </c>
      <c r="N278" s="31">
        <f>SUM(N1:N276)</f>
        <v>100</v>
      </c>
    </row>
  </sheetData>
  <mergeCells count="22">
    <mergeCell ref="A1:K1"/>
    <mergeCell ref="A3:K3"/>
    <mergeCell ref="B4:H4"/>
    <mergeCell ref="B5:H5"/>
    <mergeCell ref="B6:H6"/>
    <mergeCell ref="B7:H7"/>
    <mergeCell ref="B8:H8"/>
    <mergeCell ref="B9:H9"/>
    <mergeCell ref="B10:H10"/>
    <mergeCell ref="B11:H11"/>
    <mergeCell ref="I12:J12"/>
    <mergeCell ref="A15:K15"/>
    <mergeCell ref="B16:J16"/>
    <mergeCell ref="B17:J17"/>
    <mergeCell ref="B18:J18"/>
    <mergeCell ref="B19:J19"/>
    <mergeCell ref="B20:J20"/>
    <mergeCell ref="B21:J21"/>
    <mergeCell ref="B22:J22"/>
    <mergeCell ref="B23:J23"/>
    <mergeCell ref="B24:J24"/>
    <mergeCell ref="B25:J25"/>
  </mergeCells>
  <pageMargins left="0.39" right="0.39" top="0.87" bottom="0.59" header="0.2" footer="0.2"/>
  <pageSetup paperSize="9" orientation="landscape"/>
  <headerFooter>
    <oddHeader>&amp;R&amp;G</oddHeader>
    <oddFooter>&amp;L&amp;8 Sheet: &amp;A
File: &amp;F&amp;C&amp;8 Version: 
Date: &amp;R&amp;8 &amp;P of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D1"/>
  <sheetViews>
    <sheetView workbookViewId="0">
      <selection activeCell="A1" sqref="A1"/>
    </sheetView>
  </sheetViews>
  <sheetFormatPr defaultColWidth="8.83035714285714" defaultRowHeight="15.2" outlineLevelCol="3"/>
  <cols>
    <col min="1" max="1" width="21.3303571428571" customWidth="1"/>
    <col min="2" max="2" width="28.6607142857143" customWidth="1"/>
    <col min="3" max="3" width="7.16071428571429" customWidth="1"/>
    <col min="4" max="4" width="69.5" customWidth="1"/>
  </cols>
  <sheetData>
    <row r="1" spans="2:4">
      <c r="B1" t="s">
        <v>328</v>
      </c>
      <c r="C1" t="b">
        <v>0</v>
      </c>
      <c r="D1" t="s">
        <v>329</v>
      </c>
    </row>
  </sheetData>
  <pageMargins left="0.39" right="0.39" top="0.87" bottom="0.59" header="0.2" footer="0.2"/>
  <pageSetup paperSize="9" orientation="landscape"/>
  <headerFooter>
    <oddHeader>&amp;R&amp;G</oddHeader>
    <oddFooter>&amp;L&amp;8 Sheet: &amp;A
File: &amp;F&amp;C&amp;8 Version: 
Date: &amp;R&amp;8 &amp;P of &amp;N</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2</vt:i4>
      </vt:variant>
    </vt:vector>
  </HeadingPairs>
  <TitlesOfParts>
    <vt:vector size="2" baseType="lpstr">
      <vt:lpstr>CIS Marking Scheme Import</vt:lpstr>
      <vt:lpstr>Calculations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Adam Walsh</dc:creator>
  <cp:lastModifiedBy>Admin</cp:lastModifiedBy>
  <dcterms:created xsi:type="dcterms:W3CDTF">2010-04-27T20:25:00Z</dcterms:created>
  <cp:lastPrinted>2010-04-28T20:08:00Z</cp:lastPrinted>
  <dcterms:modified xsi:type="dcterms:W3CDTF">2026-04-23T17:04:24Z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25C5605218F4B02CC6D1E969F8EB44A8_43</vt:lpwstr>
  </property>
  <property fmtid="{D5CDD505-2E9C-101B-9397-08002B2CF9AE}" pid="3" name="KSOProductBuildVer">
    <vt:lpwstr>2052-12.1.24031.24031</vt:lpwstr>
  </property>
  <property fmtid="{D5CDD505-2E9C-101B-9397-08002B2CF9AE}" pid="4" name="CalculationRule">
    <vt:i4>0</vt:i4>
  </property>
</Properties>
</file>